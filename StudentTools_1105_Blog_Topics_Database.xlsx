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Clusters" sheetId="2" state="visible" r:id="rId2"/>
    <sheet name="Tools" sheetId="3" state="visible" r:id="rId3"/>
    <sheet name="Instructions" sheetId="4" state="visible" r:id="rId4"/>
    <sheet name="Stats" sheetId="5" state="visible" r:id="rId5"/>
  </sheets>
  <definedNames>
    <definedName name="_xlnm._FilterDatabase" localSheetId="0" hidden="1">'Topics'!$A$1:$R$1106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4"/>
    </font>
    <font>
      <name val="Segoe UI"/>
      <b val="1"/>
      <color rgb="001E3A8A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22" customWidth="1" min="4" max="4"/>
    <col width="18" customWidth="1" min="5" max="5"/>
    <col width="16" customWidth="1" min="6" max="6"/>
    <col width="32" customWidth="1" min="7" max="7"/>
    <col width="36" customWidth="1" min="8" max="8"/>
    <col width="30" customWidth="1" min="9" max="9"/>
    <col width="30" customWidth="1" min="10" max="10"/>
    <col width="65" customWidth="1" min="11" max="11"/>
    <col width="14" customWidth="1" min="12" max="12"/>
    <col width="14" customWidth="1" min="13" max="13"/>
    <col width="16" customWidth="1" min="14" max="14"/>
    <col width="25" customWidth="1" min="15" max="15"/>
    <col width="20" customWidth="1" min="16" max="16"/>
    <col width="20" customWidth="1" min="17" max="17"/>
    <col width="22" customWidth="1" min="18" max="18"/>
  </cols>
  <sheetData>
    <row r="1" ht="28" customHeight="1">
      <c r="A1" s="1" t="inlineStr">
        <is>
          <t>topic_id</t>
        </is>
      </c>
      <c r="B1" s="1" t="inlineStr">
        <is>
          <t>topic</t>
        </is>
      </c>
      <c r="C1" s="1" t="inlineStr">
        <is>
          <t>category</t>
        </is>
      </c>
      <c r="D1" s="1" t="inlineStr">
        <is>
          <t>topic_cluster</t>
        </is>
      </c>
      <c r="E1" s="1" t="inlineStr">
        <is>
          <t>article_type</t>
        </is>
      </c>
      <c r="F1" s="1" t="inlineStr">
        <is>
          <t>search_intent</t>
        </is>
      </c>
      <c r="G1" s="1" t="inlineStr">
        <is>
          <t>primary_keyword</t>
        </is>
      </c>
      <c r="H1" s="1" t="inlineStr">
        <is>
          <t>secondary_keywords</t>
        </is>
      </c>
      <c r="I1" s="1" t="inlineStr">
        <is>
          <t>related_tool</t>
        </is>
      </c>
      <c r="J1" s="1" t="inlineStr">
        <is>
          <t>related_tool_slug</t>
        </is>
      </c>
      <c r="K1" s="1" t="inlineStr">
        <is>
          <t>content_angle</t>
        </is>
      </c>
      <c r="L1" s="1" t="inlineStr">
        <is>
          <t>evergreen</t>
        </is>
      </c>
      <c r="M1" s="1" t="inlineStr">
        <is>
          <t>priority</t>
        </is>
      </c>
      <c r="N1" s="1" t="inlineStr">
        <is>
          <t>status</t>
        </is>
      </c>
      <c r="O1" s="1" t="inlineStr">
        <is>
          <t>published_url</t>
        </is>
      </c>
      <c r="P1" s="1" t="inlineStr">
        <is>
          <t>published_at</t>
        </is>
      </c>
      <c r="Q1" s="1" t="inlineStr">
        <is>
          <t>error</t>
        </is>
      </c>
      <c r="R1" s="1" t="inlineStr">
        <is>
          <t>content_hash</t>
        </is>
      </c>
    </row>
    <row r="2" ht="20" customHeight="1">
      <c r="A2" s="2" t="inlineStr">
        <is>
          <t>ST001</t>
        </is>
      </c>
      <c r="B2" s="3" t="inlineStr">
        <is>
          <t>How JEE Main Negative Marking Affects Your Total Score</t>
        </is>
      </c>
      <c r="C2" s="2" t="inlineStr">
        <is>
          <t>JEE</t>
        </is>
      </c>
      <c r="D2" s="3" t="inlineStr">
        <is>
          <t>Marks &amp; Scoring</t>
        </is>
      </c>
      <c r="E2" s="2" t="inlineStr">
        <is>
          <t>Explanation</t>
        </is>
      </c>
      <c r="F2" s="2" t="inlineStr">
        <is>
          <t>Educational</t>
        </is>
      </c>
      <c r="G2" s="3" t="inlineStr">
        <is>
          <t>jee main negative marking</t>
        </is>
      </c>
      <c r="H2" s="3" t="inlineStr">
        <is>
          <t>jee marking scheme, negative marking impact, jee scoring rules, 4 marks minus 1</t>
        </is>
      </c>
      <c r="I2" s="3" t="inlineStr">
        <is>
          <t>JEE Marks Calculator</t>
        </is>
      </c>
      <c r="J2" s="3" t="inlineStr">
        <is>
          <t>/jee/marks-calculator</t>
        </is>
      </c>
      <c r="K2" s="3" t="inlineStr">
        <is>
          <t>Analyze how +4 for correct and -1 for incorrect creates non-linear scoring risks. Show numerical examples comparing aggressive guessing vs selective attempts, and illustrate net score calculations with the JEE Marks Calculator.</t>
        </is>
      </c>
      <c r="L2" s="2" t="inlineStr">
        <is>
          <t>YES</t>
        </is>
      </c>
      <c r="M2" s="2" t="inlineStr">
        <is>
          <t>HIGH</t>
        </is>
      </c>
      <c r="N2" s="2" t="inlineStr">
        <is>
          <t>READY</t>
        </is>
      </c>
      <c r="O2" s="3" t="inlineStr"/>
      <c r="P2" s="3" t="inlineStr"/>
      <c r="Q2" s="3" t="inlineStr"/>
      <c r="R2" s="3" t="inlineStr"/>
    </row>
    <row r="3" ht="20" customHeight="1">
      <c r="A3" s="4" t="inlineStr">
        <is>
          <t>ST002</t>
        </is>
      </c>
      <c r="B3" s="5" t="inlineStr">
        <is>
          <t>How to Calculate Raw Score from JEE Main Response Sheet</t>
        </is>
      </c>
      <c r="C3" s="4" t="inlineStr">
        <is>
          <t>JEE</t>
        </is>
      </c>
      <c r="D3" s="5" t="inlineStr">
        <is>
          <t>Marks &amp; Scoring</t>
        </is>
      </c>
      <c r="E3" s="4" t="inlineStr">
        <is>
          <t>How-To</t>
        </is>
      </c>
      <c r="F3" s="4" t="inlineStr">
        <is>
          <t>How-To</t>
        </is>
      </c>
      <c r="G3" s="5" t="inlineStr">
        <is>
          <t>how to calculate jee main raw score</t>
        </is>
      </c>
      <c r="H3" s="5" t="inlineStr">
        <is>
          <t>jee response sheet calculation, nta answer key marks, jee raw marks formula</t>
        </is>
      </c>
      <c r="I3" s="5" t="inlineStr">
        <is>
          <t>JEE Marks Calculator</t>
        </is>
      </c>
      <c r="J3" s="5" t="inlineStr">
        <is>
          <t>/jee/marks-calculator</t>
        </is>
      </c>
      <c r="K3" s="5" t="inlineStr">
        <is>
          <t>Step-by-step guide to downloading NTA response sheet, cross-referencing provisional answer keys, tracking bonus questions, and tallying marks accurately.</t>
        </is>
      </c>
      <c r="L3" s="4" t="inlineStr">
        <is>
          <t>YES</t>
        </is>
      </c>
      <c r="M3" s="4" t="inlineStr">
        <is>
          <t>HIGH</t>
        </is>
      </c>
      <c r="N3" s="4" t="inlineStr">
        <is>
          <t>READY</t>
        </is>
      </c>
      <c r="O3" s="5" t="inlineStr"/>
      <c r="P3" s="5" t="inlineStr"/>
      <c r="Q3" s="5" t="inlineStr"/>
      <c r="R3" s="5" t="inlineStr"/>
    </row>
    <row r="4" ht="20" customHeight="1">
      <c r="A4" s="2" t="inlineStr">
        <is>
          <t>ST003</t>
        </is>
      </c>
      <c r="B4" s="3" t="inlineStr">
        <is>
          <t>Why Do Different Shifts Need Different Marks for 99 Percentile in JEE Main?</t>
        </is>
      </c>
      <c r="C4" s="2" t="inlineStr">
        <is>
          <t>JEE</t>
        </is>
      </c>
      <c r="D4" s="3" t="inlineStr">
        <is>
          <t>Marks &amp; Scoring</t>
        </is>
      </c>
      <c r="E4" s="2" t="inlineStr">
        <is>
          <t>Explanation</t>
        </is>
      </c>
      <c r="F4" s="2" t="inlineStr">
        <is>
          <t>Informational</t>
        </is>
      </c>
      <c r="G4" s="3" t="inlineStr">
        <is>
          <t>marks required for 99 percentile jee main shift wise</t>
        </is>
      </c>
      <c r="H4" s="3" t="inlineStr">
        <is>
          <t>shift difficulty marks 99 percentile, jee shift variation, easy vs hard shift jee score</t>
        </is>
      </c>
      <c r="I4" s="3" t="inlineStr">
        <is>
          <t>JEE Main Marks to Percentile</t>
        </is>
      </c>
      <c r="J4" s="3" t="inlineStr">
        <is>
          <t>/jee/marks-to-percentile</t>
        </is>
      </c>
      <c r="K4" s="3" t="inlineStr">
        <is>
          <t>Explain shift-wise variance where an easy shift requires 210+ marks while a tough shift requires 165 marks for 99 percentile due to raw score distributions.</t>
        </is>
      </c>
      <c r="L4" s="2" t="inlineStr">
        <is>
          <t>YES</t>
        </is>
      </c>
      <c r="M4" s="2" t="inlineStr">
        <is>
          <t>HIGH</t>
        </is>
      </c>
      <c r="N4" s="2" t="inlineStr">
        <is>
          <t>READY</t>
        </is>
      </c>
      <c r="O4" s="3" t="inlineStr"/>
      <c r="P4" s="3" t="inlineStr"/>
      <c r="Q4" s="3" t="inlineStr"/>
      <c r="R4" s="3" t="inlineStr"/>
    </row>
    <row r="5" ht="20" customHeight="1">
      <c r="A5" s="4" t="inlineStr">
        <is>
          <t>ST004</t>
        </is>
      </c>
      <c r="B5" s="5" t="inlineStr">
        <is>
          <t>JEE Main Section B Numerical Questions: Marking Scheme and Penalty Rules</t>
        </is>
      </c>
      <c r="C5" s="4" t="inlineStr">
        <is>
          <t>JEE</t>
        </is>
      </c>
      <c r="D5" s="5" t="inlineStr">
        <is>
          <t>Marks &amp; Scoring</t>
        </is>
      </c>
      <c r="E5" s="4" t="inlineStr">
        <is>
          <t>Guide</t>
        </is>
      </c>
      <c r="F5" s="4" t="inlineStr">
        <is>
          <t>Reference</t>
        </is>
      </c>
      <c r="G5" s="5" t="inlineStr">
        <is>
          <t>jee main section b marking scheme</t>
        </is>
      </c>
      <c r="H5" s="5" t="inlineStr">
        <is>
          <t>jee numerical questions negative marking, section b rules, integer questions jee main</t>
        </is>
      </c>
      <c r="I5" s="5" t="inlineStr">
        <is>
          <t>JEE Marks Calculator</t>
        </is>
      </c>
      <c r="J5" s="5" t="inlineStr">
        <is>
          <t>/jee/marks-calculator</t>
        </is>
      </c>
      <c r="K5" s="5" t="inlineStr">
        <is>
          <t>Detail the evolution of Section B numerical questions, negative marking introduction, rounding off guidelines, and score calculation nuances.</t>
        </is>
      </c>
      <c r="L5" s="4" t="inlineStr">
        <is>
          <t>YES</t>
        </is>
      </c>
      <c r="M5" s="4" t="inlineStr">
        <is>
          <t>MEDIUM</t>
        </is>
      </c>
      <c r="N5" s="4" t="inlineStr">
        <is>
          <t>READY</t>
        </is>
      </c>
      <c r="O5" s="5" t="inlineStr"/>
      <c r="P5" s="5" t="inlineStr"/>
      <c r="Q5" s="5" t="inlineStr"/>
      <c r="R5" s="5" t="inlineStr"/>
    </row>
    <row r="6" ht="20" customHeight="1">
      <c r="A6" s="2" t="inlineStr">
        <is>
          <t>ST005</t>
        </is>
      </c>
      <c r="B6" s="3" t="inlineStr">
        <is>
          <t>Impact of Unattempted Questions vs Incorrect Answers in JEE Main</t>
        </is>
      </c>
      <c r="C6" s="2" t="inlineStr">
        <is>
          <t>JEE</t>
        </is>
      </c>
      <c r="D6" s="3" t="inlineStr">
        <is>
          <t>Marks &amp; Scoring</t>
        </is>
      </c>
      <c r="E6" s="2" t="inlineStr">
        <is>
          <t>Comparison</t>
        </is>
      </c>
      <c r="F6" s="2" t="inlineStr">
        <is>
          <t>Comparison</t>
        </is>
      </c>
      <c r="G6" s="3" t="inlineStr">
        <is>
          <t>unattempted vs negative marking jee main</t>
        </is>
      </c>
      <c r="H6" s="3" t="inlineStr">
        <is>
          <t>jee guessing penalty, unattempted marks jee, risk analysis jee questions</t>
        </is>
      </c>
      <c r="I6" s="3" t="inlineStr">
        <is>
          <t>JEE Marks Calculator</t>
        </is>
      </c>
      <c r="J6" s="3" t="inlineStr">
        <is>
          <t>/jee/marks-calculator</t>
        </is>
      </c>
      <c r="K6" s="3" t="inlineStr">
        <is>
          <t>Compare two hypothetical students attempting 50 questions vs 65 questions with varying error rates, demonstrating why wild guesses degrade ranks.</t>
        </is>
      </c>
      <c r="L6" s="2" t="inlineStr">
        <is>
          <t>YES</t>
        </is>
      </c>
      <c r="M6" s="2" t="inlineStr">
        <is>
          <t>HIGH</t>
        </is>
      </c>
      <c r="N6" s="2" t="inlineStr">
        <is>
          <t>READY</t>
        </is>
      </c>
      <c r="O6" s="3" t="inlineStr"/>
      <c r="P6" s="3" t="inlineStr"/>
      <c r="Q6" s="3" t="inlineStr"/>
      <c r="R6" s="3" t="inlineStr"/>
    </row>
    <row r="7" ht="20" customHeight="1">
      <c r="A7" s="4" t="inlineStr">
        <is>
          <t>ST006</t>
        </is>
      </c>
      <c r="B7" s="5" t="inlineStr">
        <is>
          <t>How Dropped and Bonus Questions Affect JEE Main Marks Calculation</t>
        </is>
      </c>
      <c r="C7" s="4" t="inlineStr">
        <is>
          <t>JEE</t>
        </is>
      </c>
      <c r="D7" s="5" t="inlineStr">
        <is>
          <t>Marks &amp; Scoring</t>
        </is>
      </c>
      <c r="E7" s="4" t="inlineStr">
        <is>
          <t>Explanation</t>
        </is>
      </c>
      <c r="F7" s="4" t="inlineStr">
        <is>
          <t>Educational</t>
        </is>
      </c>
      <c r="G7" s="5" t="inlineStr">
        <is>
          <t>jee main dropped questions marks rule</t>
        </is>
      </c>
      <c r="H7" s="5" t="inlineStr">
        <is>
          <t>nta bonus question rule, dropped question scoring, marks for all candidates jee</t>
        </is>
      </c>
      <c r="I7" s="5" t="inlineStr">
        <is>
          <t>JEE Marks Calculator</t>
        </is>
      </c>
      <c r="J7" s="5" t="inlineStr">
        <is>
          <t>/jee/marks-calculator</t>
        </is>
      </c>
      <c r="K7" s="5" t="inlineStr">
        <is>
          <t>Clarify NTA official policy on dropped questions: differences between MCQs and numerical questions, and how raw score scaling applies across shifts.</t>
        </is>
      </c>
      <c r="L7" s="4" t="inlineStr">
        <is>
          <t>YES</t>
        </is>
      </c>
      <c r="M7" s="4" t="inlineStr">
        <is>
          <t>MEDIUM</t>
        </is>
      </c>
      <c r="N7" s="4" t="inlineStr">
        <is>
          <t>READY</t>
        </is>
      </c>
      <c r="O7" s="5" t="inlineStr"/>
      <c r="P7" s="5" t="inlineStr"/>
      <c r="Q7" s="5" t="inlineStr"/>
      <c r="R7" s="5" t="inlineStr"/>
    </row>
    <row r="8" ht="20" customHeight="1">
      <c r="A8" s="2" t="inlineStr">
        <is>
          <t>ST007</t>
        </is>
      </c>
      <c r="B8" s="3" t="inlineStr">
        <is>
          <t>How to Challenge Provisional Answer Key in JEE Main: Fee and Scoring Rules</t>
        </is>
      </c>
      <c r="C8" s="2" t="inlineStr">
        <is>
          <t>JEE</t>
        </is>
      </c>
      <c r="D8" s="3" t="inlineStr">
        <is>
          <t>Marks &amp; Scoring</t>
        </is>
      </c>
      <c r="E8" s="2" t="inlineStr">
        <is>
          <t>Guide</t>
        </is>
      </c>
      <c r="F8" s="2" t="inlineStr">
        <is>
          <t>How-To</t>
        </is>
      </c>
      <c r="G8" s="3" t="inlineStr">
        <is>
          <t>how to challenge jee main answer key</t>
        </is>
      </c>
      <c r="H8" s="3" t="inlineStr">
        <is>
          <t>nta answer key challenge process, fee refund answer key challenge, marks revision jee</t>
        </is>
      </c>
      <c r="I8" s="3" t="inlineStr">
        <is>
          <t>JEE Marks Calculator</t>
        </is>
      </c>
      <c r="J8" s="3" t="inlineStr">
        <is>
          <t>/jee/marks-calculator</t>
        </is>
      </c>
      <c r="K8" s="3" t="inlineStr">
        <is>
          <t>Explain the NTA challenge procedure, non-refundable processing fee, expert committee review, and how revised final answer keys impact marks tally.</t>
        </is>
      </c>
      <c r="L8" s="2" t="inlineStr">
        <is>
          <t>YES</t>
        </is>
      </c>
      <c r="M8" s="2" t="inlineStr">
        <is>
          <t>MEDIUM</t>
        </is>
      </c>
      <c r="N8" s="2" t="inlineStr">
        <is>
          <t>READY</t>
        </is>
      </c>
      <c r="O8" s="3" t="inlineStr"/>
      <c r="P8" s="3" t="inlineStr"/>
      <c r="Q8" s="3" t="inlineStr"/>
      <c r="R8" s="3" t="inlineStr"/>
    </row>
    <row r="9" ht="20" customHeight="1">
      <c r="A9" s="4" t="inlineStr">
        <is>
          <t>ST008</t>
        </is>
      </c>
      <c r="B9" s="5" t="inlineStr">
        <is>
          <t>Understanding the Tie-Breaking Criteria in JEE Main Scorecards</t>
        </is>
      </c>
      <c r="C9" s="4" t="inlineStr">
        <is>
          <t>JEE</t>
        </is>
      </c>
      <c r="D9" s="5" t="inlineStr">
        <is>
          <t>Marks &amp; Scoring</t>
        </is>
      </c>
      <c r="E9" s="4" t="inlineStr">
        <is>
          <t>Guide</t>
        </is>
      </c>
      <c r="F9" s="4" t="inlineStr">
        <is>
          <t>Reference</t>
        </is>
      </c>
      <c r="G9" s="5" t="inlineStr">
        <is>
          <t>jee main tie breaking rule</t>
        </is>
      </c>
      <c r="H9" s="5" t="inlineStr">
        <is>
          <t>tie breaking criteria nta, mathematics score tie breaker, age criteria jee main tie</t>
        </is>
      </c>
      <c r="I9" s="5" t="inlineStr">
        <is>
          <t>JEE Main Percentile to Rank</t>
        </is>
      </c>
      <c r="J9" s="5" t="inlineStr">
        <is>
          <t>/jee/percentile-to-rank</t>
        </is>
      </c>
      <c r="K9" s="5" t="inlineStr">
        <is>
          <t>Break down the sequential tie-breaking protocol: Math percentile, Physics percentile, Chemistry percentile, ratio of positive to negative attempts, and age.</t>
        </is>
      </c>
      <c r="L9" s="4" t="inlineStr">
        <is>
          <t>YES</t>
        </is>
      </c>
      <c r="M9" s="4" t="inlineStr">
        <is>
          <t>HIGH</t>
        </is>
      </c>
      <c r="N9" s="4" t="inlineStr">
        <is>
          <t>READY</t>
        </is>
      </c>
      <c r="O9" s="5" t="inlineStr"/>
      <c r="P9" s="5" t="inlineStr"/>
      <c r="Q9" s="5" t="inlineStr"/>
      <c r="R9" s="5" t="inlineStr"/>
    </row>
    <row r="10" ht="20" customHeight="1">
      <c r="A10" s="2" t="inlineStr">
        <is>
          <t>ST009</t>
        </is>
      </c>
      <c r="B10" s="3" t="inlineStr">
        <is>
          <t>How to Determine Target Raw Score for Top 10 NITs</t>
        </is>
      </c>
      <c r="C10" s="2" t="inlineStr">
        <is>
          <t>JEE</t>
        </is>
      </c>
      <c r="D10" s="3" t="inlineStr">
        <is>
          <t>Marks &amp; Scoring</t>
        </is>
      </c>
      <c r="E10" s="2" t="inlineStr">
        <is>
          <t>Planning Guide</t>
        </is>
      </c>
      <c r="F10" s="2" t="inlineStr">
        <is>
          <t>Planning</t>
        </is>
      </c>
      <c r="G10" s="3" t="inlineStr">
        <is>
          <t>marks needed for top nits in jee main</t>
        </is>
      </c>
      <c r="H10" s="3" t="inlineStr">
        <is>
          <t>raw score for nit trichy, marks for cse in top nits, safe score for nit</t>
        </is>
      </c>
      <c r="I10" s="3" t="inlineStr">
        <is>
          <t>JEE Main Marks to Percentile</t>
        </is>
      </c>
      <c r="J10" s="3" t="inlineStr">
        <is>
          <t>/jee/marks-to-percentile</t>
        </is>
      </c>
      <c r="K10" s="3" t="inlineStr">
        <is>
          <t>Examine historical score trends across tough, moderate, and easy exam papers to define safe score ranges for premier NIT branches.</t>
        </is>
      </c>
      <c r="L10" s="2" t="inlineStr">
        <is>
          <t>YES</t>
        </is>
      </c>
      <c r="M10" s="2" t="inlineStr">
        <is>
          <t>HIGH</t>
        </is>
      </c>
      <c r="N10" s="2" t="inlineStr">
        <is>
          <t>READY</t>
        </is>
      </c>
      <c r="O10" s="3" t="inlineStr"/>
      <c r="P10" s="3" t="inlineStr"/>
      <c r="Q10" s="3" t="inlineStr"/>
      <c r="R10" s="3" t="inlineStr"/>
    </row>
    <row r="11" ht="20" customHeight="1">
      <c r="A11" s="4" t="inlineStr">
        <is>
          <t>ST010</t>
        </is>
      </c>
      <c r="B11" s="5" t="inlineStr">
        <is>
          <t>What Does a Negative Total Score Mean in JEE Main?</t>
        </is>
      </c>
      <c r="C11" s="4" t="inlineStr">
        <is>
          <t>JEE</t>
        </is>
      </c>
      <c r="D11" s="5" t="inlineStr">
        <is>
          <t>Marks &amp; Scoring</t>
        </is>
      </c>
      <c r="E11" s="4" t="inlineStr">
        <is>
          <t>Explanation</t>
        </is>
      </c>
      <c r="F11" s="4" t="inlineStr">
        <is>
          <t>Informational</t>
        </is>
      </c>
      <c r="G11" s="5" t="inlineStr">
        <is>
          <t>can jee main score be negative</t>
        </is>
      </c>
      <c r="H11" s="5" t="inlineStr">
        <is>
          <t>negative marks in jee main, minus score jee scorecard, negative percentile myth</t>
        </is>
      </c>
      <c r="I11" s="5" t="inlineStr">
        <is>
          <t>JEE Marks Calculator</t>
        </is>
      </c>
      <c r="J11" s="5" t="inlineStr">
        <is>
          <t>/jee/marks-calculator</t>
        </is>
      </c>
      <c r="K11" s="5" t="inlineStr">
        <is>
          <t>Explain how raw scores can drop below zero due to heavy negative marking, while percentile scores remain positive (strictly between 0 and 100).</t>
        </is>
      </c>
      <c r="L11" s="4" t="inlineStr">
        <is>
          <t>YES</t>
        </is>
      </c>
      <c r="M11" s="4" t="inlineStr">
        <is>
          <t>LOW</t>
        </is>
      </c>
      <c r="N11" s="4" t="inlineStr">
        <is>
          <t>READY</t>
        </is>
      </c>
      <c r="O11" s="5" t="inlineStr"/>
      <c r="P11" s="5" t="inlineStr"/>
      <c r="Q11" s="5" t="inlineStr"/>
      <c r="R11" s="5" t="inlineStr"/>
    </row>
    <row r="12" ht="20" customHeight="1">
      <c r="A12" s="2" t="inlineStr">
        <is>
          <t>ST011</t>
        </is>
      </c>
      <c r="B12" s="3" t="inlineStr">
        <is>
          <t>Formula for JEE Main Raw Score: Step-by-Step Breakdown with Examples</t>
        </is>
      </c>
      <c r="C12" s="2" t="inlineStr">
        <is>
          <t>JEE</t>
        </is>
      </c>
      <c r="D12" s="3" t="inlineStr">
        <is>
          <t>Marks &amp; Scoring</t>
        </is>
      </c>
      <c r="E12" s="2" t="inlineStr">
        <is>
          <t>Formula Guide</t>
        </is>
      </c>
      <c r="F12" s="2" t="inlineStr">
        <is>
          <t>How-To</t>
        </is>
      </c>
      <c r="G12" s="3" t="inlineStr">
        <is>
          <t>jee main score formula</t>
        </is>
      </c>
      <c r="H12" s="3" t="inlineStr">
        <is>
          <t>calculate marks in jee, formula for jee raw score, correct incorrect unanswered formula</t>
        </is>
      </c>
      <c r="I12" s="3" t="inlineStr">
        <is>
          <t>JEE Marks Calculator</t>
        </is>
      </c>
      <c r="J12" s="3" t="inlineStr">
        <is>
          <t>/jee/marks-calculator</t>
        </is>
      </c>
      <c r="K12" s="3" t="inlineStr">
        <is>
          <t>Provide the exact formula: Score = (Correct * 4) - (Incorrect * 1) + (Unattempted * 0). Provide worked examples for varying attempt distributions.</t>
        </is>
      </c>
      <c r="L12" s="2" t="inlineStr">
        <is>
          <t>YES</t>
        </is>
      </c>
      <c r="M12" s="2" t="inlineStr">
        <is>
          <t>HIGH</t>
        </is>
      </c>
      <c r="N12" s="2" t="inlineStr">
        <is>
          <t>READY</t>
        </is>
      </c>
      <c r="O12" s="3" t="inlineStr"/>
      <c r="P12" s="3" t="inlineStr"/>
      <c r="Q12" s="3" t="inlineStr"/>
      <c r="R12" s="3" t="inlineStr"/>
    </row>
    <row r="13" ht="20" customHeight="1">
      <c r="A13" s="4" t="inlineStr">
        <is>
          <t>ST012</t>
        </is>
      </c>
      <c r="B13" s="5" t="inlineStr">
        <is>
          <t>How Accuracy Percentage Determines Final Score in JEE Main</t>
        </is>
      </c>
      <c r="C13" s="4" t="inlineStr">
        <is>
          <t>JEE</t>
        </is>
      </c>
      <c r="D13" s="5" t="inlineStr">
        <is>
          <t>Marks &amp; Scoring</t>
        </is>
      </c>
      <c r="E13" s="4" t="inlineStr">
        <is>
          <t>Guide</t>
        </is>
      </c>
      <c r="F13" s="4" t="inlineStr">
        <is>
          <t>Educational</t>
        </is>
      </c>
      <c r="G13" s="5" t="inlineStr">
        <is>
          <t>accuracy percentage in jee main</t>
        </is>
      </c>
      <c r="H13" s="5" t="inlineStr">
        <is>
          <t>jee exam accuracy, calculation errors jee main, negative marking reduction</t>
        </is>
      </c>
      <c r="I13" s="5" t="inlineStr">
        <is>
          <t>JEE Marks Calculator</t>
        </is>
      </c>
      <c r="J13" s="5" t="inlineStr">
        <is>
          <t>/jee/marks-calculator</t>
        </is>
      </c>
      <c r="K13" s="5" t="inlineStr">
        <is>
          <t>Demonstrate mathematical model showing how an increase in accuracy from 70% to 88% drastically elevates net marks even with fewer questions attempted.</t>
        </is>
      </c>
      <c r="L13" s="4" t="inlineStr">
        <is>
          <t>YES</t>
        </is>
      </c>
      <c r="M13" s="4" t="inlineStr">
        <is>
          <t>HIGH</t>
        </is>
      </c>
      <c r="N13" s="4" t="inlineStr">
        <is>
          <t>READY</t>
        </is>
      </c>
      <c r="O13" s="5" t="inlineStr"/>
      <c r="P13" s="5" t="inlineStr"/>
      <c r="Q13" s="5" t="inlineStr"/>
      <c r="R13" s="5" t="inlineStr"/>
    </row>
    <row r="14" ht="20" customHeight="1">
      <c r="A14" s="2" t="inlineStr">
        <is>
          <t>ST013</t>
        </is>
      </c>
      <c r="B14" s="3" t="inlineStr">
        <is>
          <t>Strategic Elimination: How to Convert 50-50 Choices into Positive Expected Marks</t>
        </is>
      </c>
      <c r="C14" s="2" t="inlineStr">
        <is>
          <t>JEE</t>
        </is>
      </c>
      <c r="D14" s="3" t="inlineStr">
        <is>
          <t>Marks &amp; Scoring</t>
        </is>
      </c>
      <c r="E14" s="2" t="inlineStr">
        <is>
          <t>Guide</t>
        </is>
      </c>
      <c r="F14" s="2" t="inlineStr">
        <is>
          <t>Planning</t>
        </is>
      </c>
      <c r="G14" s="3" t="inlineStr">
        <is>
          <t>intelligent guessing in jee main</t>
        </is>
      </c>
      <c r="H14" s="3" t="inlineStr">
        <is>
          <t>eliminating options jee main, probability guessing jee, positive expectation guessing</t>
        </is>
      </c>
      <c r="I14" s="3" t="inlineStr">
        <is>
          <t>JEE Marks Calculator</t>
        </is>
      </c>
      <c r="J14" s="3" t="inlineStr">
        <is>
          <t>/jee/marks-calculator</t>
        </is>
      </c>
      <c r="K14" s="3" t="inlineStr">
        <is>
          <t>Evaluate statistical expectation of guessing: +4 * 0.5 - 1 * 0.5 = +1.5 expected return when eliminating two options vs wild 4-choice guess (-0.25 return).</t>
        </is>
      </c>
      <c r="L14" s="2" t="inlineStr">
        <is>
          <t>YES</t>
        </is>
      </c>
      <c r="M14" s="2" t="inlineStr">
        <is>
          <t>HIGH</t>
        </is>
      </c>
      <c r="N14" s="2" t="inlineStr">
        <is>
          <t>READY</t>
        </is>
      </c>
      <c r="O14" s="3" t="inlineStr"/>
      <c r="P14" s="3" t="inlineStr"/>
      <c r="Q14" s="3" t="inlineStr"/>
      <c r="R14" s="3" t="inlineStr"/>
    </row>
    <row r="15" ht="20" customHeight="1">
      <c r="A15" s="4" t="inlineStr">
        <is>
          <t>ST014</t>
        </is>
      </c>
      <c r="B15" s="5" t="inlineStr">
        <is>
          <t>How Chemistry Scoring Efficiency Compares to Mathematics in JEE Main</t>
        </is>
      </c>
      <c r="C15" s="4" t="inlineStr">
        <is>
          <t>JEE</t>
        </is>
      </c>
      <c r="D15" s="5" t="inlineStr">
        <is>
          <t>Marks &amp; Scoring</t>
        </is>
      </c>
      <c r="E15" s="4" t="inlineStr">
        <is>
          <t>Comparison</t>
        </is>
      </c>
      <c r="F15" s="4" t="inlineStr">
        <is>
          <t>Educational</t>
        </is>
      </c>
      <c r="G15" s="5" t="inlineStr">
        <is>
          <t>chemistry vs maths scoring jee main</t>
        </is>
      </c>
      <c r="H15" s="5" t="inlineStr">
        <is>
          <t>chemistry marks per minute, scoring fast in chemistry, math time sink jee</t>
        </is>
      </c>
      <c r="I15" s="5" t="inlineStr">
        <is>
          <t>JEE Marks Calculator</t>
        </is>
      </c>
      <c r="J15" s="5" t="inlineStr">
        <is>
          <t>/jee/marks-calculator</t>
        </is>
      </c>
      <c r="K15" s="5" t="inlineStr">
        <is>
          <t>Compare time investment per mark between Chemistry (often 1.5 marks per minute) and Mathematics (0.6 marks per minute) and score optimization strategies.</t>
        </is>
      </c>
      <c r="L15" s="4" t="inlineStr">
        <is>
          <t>YES</t>
        </is>
      </c>
      <c r="M15" s="4" t="inlineStr">
        <is>
          <t>MEDIUM</t>
        </is>
      </c>
      <c r="N15" s="4" t="inlineStr">
        <is>
          <t>READY</t>
        </is>
      </c>
      <c r="O15" s="5" t="inlineStr"/>
      <c r="P15" s="5" t="inlineStr"/>
      <c r="Q15" s="5" t="inlineStr"/>
      <c r="R15" s="5" t="inlineStr"/>
    </row>
    <row r="16" ht="20" customHeight="1">
      <c r="A16" s="2" t="inlineStr">
        <is>
          <t>ST015</t>
        </is>
      </c>
      <c r="B16" s="3" t="inlineStr">
        <is>
          <t>Physics Scoring Trends in JEE Main: Formula Application vs Conceptual Questions</t>
        </is>
      </c>
      <c r="C16" s="2" t="inlineStr">
        <is>
          <t>JEE</t>
        </is>
      </c>
      <c r="D16" s="3" t="inlineStr">
        <is>
          <t>Marks &amp; Scoring</t>
        </is>
      </c>
      <c r="E16" s="2" t="inlineStr">
        <is>
          <t>Explanation</t>
        </is>
      </c>
      <c r="F16" s="2" t="inlineStr">
        <is>
          <t>Informational</t>
        </is>
      </c>
      <c r="G16" s="3" t="inlineStr">
        <is>
          <t>physics marks trends jee main</t>
        </is>
      </c>
      <c r="H16" s="3" t="inlineStr">
        <is>
          <t>easy physics high cutoff jee, formula based physics scoring, physics marks to percentile</t>
        </is>
      </c>
      <c r="I16" s="3" t="inlineStr">
        <is>
          <t>JEE Main Marks to Percentile</t>
        </is>
      </c>
      <c r="J16" s="3" t="inlineStr">
        <is>
          <t>/jee/marks-to-percentile</t>
        </is>
      </c>
      <c r="K16" s="3" t="inlineStr">
        <is>
          <t>Analyze why recent JEE Main sessions saw high physics averages and why scoring 80+ in Physics has become necessary for 99 overall percentile.</t>
        </is>
      </c>
      <c r="L16" s="2" t="inlineStr">
        <is>
          <t>YES</t>
        </is>
      </c>
      <c r="M16" s="2" t="inlineStr">
        <is>
          <t>MEDIUM</t>
        </is>
      </c>
      <c r="N16" s="2" t="inlineStr">
        <is>
          <t>READY</t>
        </is>
      </c>
      <c r="O16" s="3" t="inlineStr"/>
      <c r="P16" s="3" t="inlineStr"/>
      <c r="Q16" s="3" t="inlineStr"/>
      <c r="R16" s="3" t="inlineStr"/>
    </row>
    <row r="17" ht="20" customHeight="1">
      <c r="A17" s="4" t="inlineStr">
        <is>
          <t>ST016</t>
        </is>
      </c>
      <c r="B17" s="5" t="inlineStr">
        <is>
          <t>Subject-Wise Minimum Marks vs Overall JEE Main Percentile</t>
        </is>
      </c>
      <c r="C17" s="4" t="inlineStr">
        <is>
          <t>JEE</t>
        </is>
      </c>
      <c r="D17" s="5" t="inlineStr">
        <is>
          <t>Marks &amp; Scoring</t>
        </is>
      </c>
      <c r="E17" s="4" t="inlineStr">
        <is>
          <t>Guide</t>
        </is>
      </c>
      <c r="F17" s="4" t="inlineStr">
        <is>
          <t>Reference</t>
        </is>
      </c>
      <c r="G17" s="5" t="inlineStr">
        <is>
          <t>is there subject wise cutoff in jee main</t>
        </is>
      </c>
      <c r="H17" s="5" t="inlineStr">
        <is>
          <t>jee main sectional cutoff, subject minimum marks jee, nta sectional rules</t>
        </is>
      </c>
      <c r="I17" s="5" t="inlineStr">
        <is>
          <t>JEE Main Marks to Percentile</t>
        </is>
      </c>
      <c r="J17" s="5" t="inlineStr">
        <is>
          <t>/jee/marks-to-percentile</t>
        </is>
      </c>
      <c r="K17" s="5" t="inlineStr">
        <is>
          <t>Clarify that JEE Main does NOT have sectional minimum cutoff marks for rank generation, contrasting it with JEE Advanced rules.</t>
        </is>
      </c>
      <c r="L17" s="4" t="inlineStr">
        <is>
          <t>YES</t>
        </is>
      </c>
      <c r="M17" s="4" t="inlineStr">
        <is>
          <t>HIGH</t>
        </is>
      </c>
      <c r="N17" s="4" t="inlineStr">
        <is>
          <t>READY</t>
        </is>
      </c>
      <c r="O17" s="5" t="inlineStr"/>
      <c r="P17" s="5" t="inlineStr"/>
      <c r="Q17" s="5" t="inlineStr"/>
      <c r="R17" s="5" t="inlineStr"/>
    </row>
    <row r="18" ht="20" customHeight="1">
      <c r="A18" s="2" t="inlineStr">
        <is>
          <t>ST017</t>
        </is>
      </c>
      <c r="B18" s="3" t="inlineStr">
        <is>
          <t>How Mock Test Scores Compare to Actual JEE Main Exam Marks</t>
        </is>
      </c>
      <c r="C18" s="2" t="inlineStr">
        <is>
          <t>JEE</t>
        </is>
      </c>
      <c r="D18" s="3" t="inlineStr">
        <is>
          <t>Marks &amp; Scoring</t>
        </is>
      </c>
      <c r="E18" s="2" t="inlineStr">
        <is>
          <t>Comparison</t>
        </is>
      </c>
      <c r="F18" s="2" t="inlineStr">
        <is>
          <t>Comparison</t>
        </is>
      </c>
      <c r="G18" s="3" t="inlineStr">
        <is>
          <t>mock test vs actual jee main marks</t>
        </is>
      </c>
      <c r="H18" s="3" t="inlineStr">
        <is>
          <t>allen resonance mock marks vs jee, coaching test score comparison, jee actual score prediction</t>
        </is>
      </c>
      <c r="I18" s="3" t="inlineStr">
        <is>
          <t>JEE Marks Calculator</t>
        </is>
      </c>
      <c r="J18" s="3" t="inlineStr">
        <is>
          <t>/jee/marks-calculator</t>
        </is>
      </c>
      <c r="K18" s="3" t="inlineStr">
        <is>
          <t>Compare test series difficulty calibrations with actual NTA papers, highlighting normalization factors and psychological exam day swings.</t>
        </is>
      </c>
      <c r="L18" s="2" t="inlineStr">
        <is>
          <t>YES</t>
        </is>
      </c>
      <c r="M18" s="2" t="inlineStr">
        <is>
          <t>MEDIUM</t>
        </is>
      </c>
      <c r="N18" s="2" t="inlineStr">
        <is>
          <t>READY</t>
        </is>
      </c>
      <c r="O18" s="3" t="inlineStr"/>
      <c r="P18" s="3" t="inlineStr"/>
      <c r="Q18" s="3" t="inlineStr"/>
      <c r="R18" s="3" t="inlineStr"/>
    </row>
    <row r="19" ht="20" customHeight="1">
      <c r="A19" s="4" t="inlineStr">
        <is>
          <t>ST018</t>
        </is>
      </c>
      <c r="B19" s="5" t="inlineStr">
        <is>
          <t>Why Raw Score Is Never Printed on the Official JEE Main Rank Card</t>
        </is>
      </c>
      <c r="C19" s="4" t="inlineStr">
        <is>
          <t>JEE</t>
        </is>
      </c>
      <c r="D19" s="5" t="inlineStr">
        <is>
          <t>Marks &amp; Scoring</t>
        </is>
      </c>
      <c r="E19" s="4" t="inlineStr">
        <is>
          <t>Explanation</t>
        </is>
      </c>
      <c r="F19" s="4" t="inlineStr">
        <is>
          <t>Informational</t>
        </is>
      </c>
      <c r="G19" s="5" t="inlineStr">
        <is>
          <t>why raw marks not shown in jee scorecard</t>
        </is>
      </c>
      <c r="H19" s="5" t="inlineStr">
        <is>
          <t>nta scorecard format, nta score vs raw marks, percentile only on jee marksheet</t>
        </is>
      </c>
      <c r="I19" s="5" t="inlineStr">
        <is>
          <t>JEE Main Marks to Percentile</t>
        </is>
      </c>
      <c r="J19" s="5" t="inlineStr">
        <is>
          <t>/jee/marks-to-percentile</t>
        </is>
      </c>
      <c r="K19" s="5" t="inlineStr">
        <is>
          <t>Explain why NTA issues only multi-session normalized NTA scores (percentiles up to 7 decimal places) to prevent raw score discrimination across shifts.</t>
        </is>
      </c>
      <c r="L19" s="4" t="inlineStr">
        <is>
          <t>YES</t>
        </is>
      </c>
      <c r="M19" s="4" t="inlineStr">
        <is>
          <t>MEDIUM</t>
        </is>
      </c>
      <c r="N19" s="4" t="inlineStr">
        <is>
          <t>READY</t>
        </is>
      </c>
      <c r="O19" s="5" t="inlineStr"/>
      <c r="P19" s="5" t="inlineStr"/>
      <c r="Q19" s="5" t="inlineStr"/>
      <c r="R19" s="5" t="inlineStr"/>
    </row>
    <row r="20" ht="20" customHeight="1">
      <c r="A20" s="2" t="inlineStr">
        <is>
          <t>ST019</t>
        </is>
      </c>
      <c r="B20" s="3" t="inlineStr">
        <is>
          <t>Does Attempting More Questions Always Increase Your JEE Main Score?</t>
        </is>
      </c>
      <c r="C20" s="2" t="inlineStr">
        <is>
          <t>JEE</t>
        </is>
      </c>
      <c r="D20" s="3" t="inlineStr">
        <is>
          <t>Marks &amp; Scoring</t>
        </is>
      </c>
      <c r="E20" s="2" t="inlineStr">
        <is>
          <t>Explanation</t>
        </is>
      </c>
      <c r="F20" s="2" t="inlineStr">
        <is>
          <t>Educational</t>
        </is>
      </c>
      <c r="G20" s="3" t="inlineStr">
        <is>
          <t>should i attempt more questions in jee main</t>
        </is>
      </c>
      <c r="H20" s="3" t="inlineStr">
        <is>
          <t>optimal number of questions to attempt jee, high attempts vs high accuracy, safe attempt count</t>
        </is>
      </c>
      <c r="I20" s="3" t="inlineStr">
        <is>
          <t>JEE Marks Calculator</t>
        </is>
      </c>
      <c r="J20" s="3" t="inlineStr">
        <is>
          <t>/jee/marks-calculator</t>
        </is>
      </c>
      <c r="K20" s="3" t="inlineStr">
        <is>
          <t>Mathematical proof demonstrating diminishing returns and score deterioration when candidates over-attempt beyond their mastery zone.</t>
        </is>
      </c>
      <c r="L20" s="2" t="inlineStr">
        <is>
          <t>YES</t>
        </is>
      </c>
      <c r="M20" s="2" t="inlineStr">
        <is>
          <t>HIGH</t>
        </is>
      </c>
      <c r="N20" s="2" t="inlineStr">
        <is>
          <t>READY</t>
        </is>
      </c>
      <c r="O20" s="3" t="inlineStr"/>
      <c r="P20" s="3" t="inlineStr"/>
      <c r="Q20" s="3" t="inlineStr"/>
      <c r="R20" s="3" t="inlineStr"/>
    </row>
    <row r="21" ht="20" customHeight="1">
      <c r="A21" s="4" t="inlineStr">
        <is>
          <t>ST020</t>
        </is>
      </c>
      <c r="B21" s="5" t="inlineStr">
        <is>
          <t>How Question Selection Strategy Dictates Your Final JEE Main Raw Score</t>
        </is>
      </c>
      <c r="C21" s="4" t="inlineStr">
        <is>
          <t>JEE</t>
        </is>
      </c>
      <c r="D21" s="5" t="inlineStr">
        <is>
          <t>Marks &amp; Scoring</t>
        </is>
      </c>
      <c r="E21" s="4" t="inlineStr">
        <is>
          <t>Guide</t>
        </is>
      </c>
      <c r="F21" s="4" t="inlineStr">
        <is>
          <t>Planning</t>
        </is>
      </c>
      <c r="G21" s="5" t="inlineStr">
        <is>
          <t>question selection strategy jee main</t>
        </is>
      </c>
      <c r="H21" s="5" t="inlineStr">
        <is>
          <t>round 1 round 2 question solving, 3 pass method jee, scoring easy questions first</t>
        </is>
      </c>
      <c r="I21" s="5" t="inlineStr">
        <is>
          <t>JEE Marks Calculator</t>
        </is>
      </c>
      <c r="J21" s="5" t="inlineStr">
        <is>
          <t>/jee/marks-calculator</t>
        </is>
      </c>
      <c r="K21" s="5" t="inlineStr">
        <is>
          <t>Explain the 3-round examination strategy: picking low-hanging easy questions first, moderate calculations second, and tough time-sinks last.</t>
        </is>
      </c>
      <c r="L21" s="4" t="inlineStr">
        <is>
          <t>YES</t>
        </is>
      </c>
      <c r="M21" s="4" t="inlineStr">
        <is>
          <t>HIGH</t>
        </is>
      </c>
      <c r="N21" s="4" t="inlineStr">
        <is>
          <t>READY</t>
        </is>
      </c>
      <c r="O21" s="5" t="inlineStr"/>
      <c r="P21" s="5" t="inlineStr"/>
      <c r="Q21" s="5" t="inlineStr"/>
      <c r="R21" s="5" t="inlineStr"/>
    </row>
    <row r="22" ht="20" customHeight="1">
      <c r="A22" s="2" t="inlineStr">
        <is>
          <t>ST021</t>
        </is>
      </c>
      <c r="B22" s="3" t="inlineStr">
        <is>
          <t>50 Marks in JEE Main: Percentile Range and Qualifying Prospects</t>
        </is>
      </c>
      <c r="C22" s="2" t="inlineStr">
        <is>
          <t>JEE</t>
        </is>
      </c>
      <c r="D22" s="3" t="inlineStr">
        <is>
          <t>Marks &amp; Scoring</t>
        </is>
      </c>
      <c r="E22" s="2" t="inlineStr">
        <is>
          <t>Explanation</t>
        </is>
      </c>
      <c r="F22" s="2" t="inlineStr">
        <is>
          <t>Educational</t>
        </is>
      </c>
      <c r="G22" s="3" t="inlineStr">
        <is>
          <t>50 marks in jee main percentile</t>
        </is>
      </c>
      <c r="H22" s="3" t="inlineStr">
        <is>
          <t>50 marks jee main, 50 score percentile, marks vs percentile 50</t>
        </is>
      </c>
      <c r="I22" s="3" t="inlineStr">
        <is>
          <t>JEE Main Marks to Percentile</t>
        </is>
      </c>
      <c r="J22" s="3" t="inlineStr">
        <is>
          <t>/jee/marks-to-percentile</t>
        </is>
      </c>
      <c r="K22" s="3" t="inlineStr">
        <is>
          <t>Analyze expected percentile bands across tough, moderate, and easy shifts for a raw score of 50 marks, explaining candidate competition and college opportunities.</t>
        </is>
      </c>
      <c r="L22" s="2" t="inlineStr">
        <is>
          <t>YES</t>
        </is>
      </c>
      <c r="M22" s="2" t="inlineStr">
        <is>
          <t>LOW</t>
        </is>
      </c>
      <c r="N22" s="2" t="inlineStr">
        <is>
          <t>READY</t>
        </is>
      </c>
      <c r="O22" s="3" t="inlineStr"/>
      <c r="P22" s="3" t="inlineStr"/>
      <c r="Q22" s="3" t="inlineStr"/>
      <c r="R22" s="3" t="inlineStr"/>
    </row>
    <row r="23" ht="20" customHeight="1">
      <c r="A23" s="4" t="inlineStr">
        <is>
          <t>ST022</t>
        </is>
      </c>
      <c r="B23" s="5" t="inlineStr">
        <is>
          <t>70 Marks in JEE Main: Category Qualifying Cutoffs and Options</t>
        </is>
      </c>
      <c r="C23" s="4" t="inlineStr">
        <is>
          <t>JEE</t>
        </is>
      </c>
      <c r="D23" s="5" t="inlineStr">
        <is>
          <t>Marks &amp; Scoring</t>
        </is>
      </c>
      <c r="E23" s="4" t="inlineStr">
        <is>
          <t>Explanation</t>
        </is>
      </c>
      <c r="F23" s="4" t="inlineStr">
        <is>
          <t>Educational</t>
        </is>
      </c>
      <c r="G23" s="5" t="inlineStr">
        <is>
          <t>70 marks in jee main percentile</t>
        </is>
      </c>
      <c r="H23" s="5" t="inlineStr">
        <is>
          <t>70 marks jee main, 70 score percentile, marks vs percentile 70</t>
        </is>
      </c>
      <c r="I23" s="5" t="inlineStr">
        <is>
          <t>JEE Main Marks to Percentile</t>
        </is>
      </c>
      <c r="J23" s="5" t="inlineStr">
        <is>
          <t>/jee/marks-to-percentile</t>
        </is>
      </c>
      <c r="K23" s="5" t="inlineStr">
        <is>
          <t>Analyze expected percentile bands across tough, moderate, and easy shifts for a raw score of 70 marks, explaining candidate competition and college opportunities.</t>
        </is>
      </c>
      <c r="L23" s="4" t="inlineStr">
        <is>
          <t>YES</t>
        </is>
      </c>
      <c r="M23" s="4" t="inlineStr">
        <is>
          <t>LOW</t>
        </is>
      </c>
      <c r="N23" s="4" t="inlineStr">
        <is>
          <t>READY</t>
        </is>
      </c>
      <c r="O23" s="5" t="inlineStr"/>
      <c r="P23" s="5" t="inlineStr"/>
      <c r="Q23" s="5" t="inlineStr"/>
      <c r="R23" s="5" t="inlineStr"/>
    </row>
    <row r="24" ht="20" customHeight="1">
      <c r="A24" s="2" t="inlineStr">
        <is>
          <t>ST023</t>
        </is>
      </c>
      <c r="B24" s="3" t="inlineStr">
        <is>
          <t>90 Marks in JEE Main: Percentile Band and College Opportunities</t>
        </is>
      </c>
      <c r="C24" s="2" t="inlineStr">
        <is>
          <t>JEE</t>
        </is>
      </c>
      <c r="D24" s="3" t="inlineStr">
        <is>
          <t>Marks &amp; Scoring</t>
        </is>
      </c>
      <c r="E24" s="2" t="inlineStr">
        <is>
          <t>Explanation</t>
        </is>
      </c>
      <c r="F24" s="2" t="inlineStr">
        <is>
          <t>Educational</t>
        </is>
      </c>
      <c r="G24" s="3" t="inlineStr">
        <is>
          <t>90 marks in jee main percentile</t>
        </is>
      </c>
      <c r="H24" s="3" t="inlineStr">
        <is>
          <t>90 marks jee main, 90 score percentile, marks vs percentile 90</t>
        </is>
      </c>
      <c r="I24" s="3" t="inlineStr">
        <is>
          <t>JEE Main Marks to Percentile</t>
        </is>
      </c>
      <c r="J24" s="3" t="inlineStr">
        <is>
          <t>/jee/marks-to-percentile</t>
        </is>
      </c>
      <c r="K24" s="3" t="inlineStr">
        <is>
          <t>Analyze expected percentile bands across tough, moderate, and easy shifts for a raw score of 90 marks, explaining candidate competition and college opportunities.</t>
        </is>
      </c>
      <c r="L24" s="2" t="inlineStr">
        <is>
          <t>YES</t>
        </is>
      </c>
      <c r="M24" s="2" t="inlineStr">
        <is>
          <t>MEDIUM</t>
        </is>
      </c>
      <c r="N24" s="2" t="inlineStr">
        <is>
          <t>READY</t>
        </is>
      </c>
      <c r="O24" s="3" t="inlineStr"/>
      <c r="P24" s="3" t="inlineStr"/>
      <c r="Q24" s="3" t="inlineStr"/>
      <c r="R24" s="3" t="inlineStr"/>
    </row>
    <row r="25" ht="20" customHeight="1">
      <c r="A25" s="4" t="inlineStr">
        <is>
          <t>ST024</t>
        </is>
      </c>
      <c r="B25" s="5" t="inlineStr">
        <is>
          <t>100 Marks in JEE Main: Shift-Wise Percentile and College Prospects</t>
        </is>
      </c>
      <c r="C25" s="4" t="inlineStr">
        <is>
          <t>JEE</t>
        </is>
      </c>
      <c r="D25" s="5" t="inlineStr">
        <is>
          <t>Marks &amp; Scoring</t>
        </is>
      </c>
      <c r="E25" s="4" t="inlineStr">
        <is>
          <t>Explanation</t>
        </is>
      </c>
      <c r="F25" s="4" t="inlineStr">
        <is>
          <t>Educational</t>
        </is>
      </c>
      <c r="G25" s="5" t="inlineStr">
        <is>
          <t>100 marks in jee main percentile</t>
        </is>
      </c>
      <c r="H25" s="5" t="inlineStr">
        <is>
          <t>100 marks jee main, 100 score percentile, marks vs percentile 100</t>
        </is>
      </c>
      <c r="I25" s="5" t="inlineStr">
        <is>
          <t>JEE Main Marks to Percentile</t>
        </is>
      </c>
      <c r="J25" s="5" t="inlineStr">
        <is>
          <t>/jee/marks-to-percentile</t>
        </is>
      </c>
      <c r="K25" s="5" t="inlineStr">
        <is>
          <t>Analyze expected percentile bands across tough, moderate, and easy shifts for a raw score of 100 marks, explaining candidate competition and college opportunities.</t>
        </is>
      </c>
      <c r="L25" s="4" t="inlineStr">
        <is>
          <t>YES</t>
        </is>
      </c>
      <c r="M25" s="4" t="inlineStr">
        <is>
          <t>MEDIUM</t>
        </is>
      </c>
      <c r="N25" s="4" t="inlineStr">
        <is>
          <t>READY</t>
        </is>
      </c>
      <c r="O25" s="5" t="inlineStr"/>
      <c r="P25" s="5" t="inlineStr"/>
      <c r="Q25" s="5" t="inlineStr"/>
      <c r="R25" s="5" t="inlineStr"/>
    </row>
    <row r="26" ht="20" customHeight="1">
      <c r="A26" s="2" t="inlineStr">
        <is>
          <t>ST025</t>
        </is>
      </c>
      <c r="B26" s="3" t="inlineStr">
        <is>
          <t>110 Marks in JEE Main: Expected Percentile and State College Cutoffs</t>
        </is>
      </c>
      <c r="C26" s="2" t="inlineStr">
        <is>
          <t>JEE</t>
        </is>
      </c>
      <c r="D26" s="3" t="inlineStr">
        <is>
          <t>Marks &amp; Scoring</t>
        </is>
      </c>
      <c r="E26" s="2" t="inlineStr">
        <is>
          <t>Explanation</t>
        </is>
      </c>
      <c r="F26" s="2" t="inlineStr">
        <is>
          <t>Educational</t>
        </is>
      </c>
      <c r="G26" s="3" t="inlineStr">
        <is>
          <t>110 marks in jee main percentile</t>
        </is>
      </c>
      <c r="H26" s="3" t="inlineStr">
        <is>
          <t>110 marks jee main, 110 score percentile, marks vs percentile 110</t>
        </is>
      </c>
      <c r="I26" s="3" t="inlineStr">
        <is>
          <t>JEE Main Marks to Percentile</t>
        </is>
      </c>
      <c r="J26" s="3" t="inlineStr">
        <is>
          <t>/jee/marks-to-percentile</t>
        </is>
      </c>
      <c r="K26" s="3" t="inlineStr">
        <is>
          <t>Analyze expected percentile bands across tough, moderate, and easy shifts for a raw score of 110 marks, explaining candidate competition and college opportunities.</t>
        </is>
      </c>
      <c r="L26" s="2" t="inlineStr">
        <is>
          <t>YES</t>
        </is>
      </c>
      <c r="M26" s="2" t="inlineStr">
        <is>
          <t>MEDIUM</t>
        </is>
      </c>
      <c r="N26" s="2" t="inlineStr">
        <is>
          <t>READY</t>
        </is>
      </c>
      <c r="O26" s="3" t="inlineStr"/>
      <c r="P26" s="3" t="inlineStr"/>
      <c r="Q26" s="3" t="inlineStr"/>
      <c r="R26" s="3" t="inlineStr"/>
    </row>
    <row r="27" ht="20" customHeight="1">
      <c r="A27" s="4" t="inlineStr">
        <is>
          <t>ST026</t>
        </is>
      </c>
      <c r="B27" s="5" t="inlineStr">
        <is>
          <t>120 Marks in JEE Main: Percentile Range and Eligible Engineering Colleges</t>
        </is>
      </c>
      <c r="C27" s="4" t="inlineStr">
        <is>
          <t>JEE</t>
        </is>
      </c>
      <c r="D27" s="5" t="inlineStr">
        <is>
          <t>Marks &amp; Scoring</t>
        </is>
      </c>
      <c r="E27" s="4" t="inlineStr">
        <is>
          <t>Explanation</t>
        </is>
      </c>
      <c r="F27" s="4" t="inlineStr">
        <is>
          <t>Educational</t>
        </is>
      </c>
      <c r="G27" s="5" t="inlineStr">
        <is>
          <t>120 marks in jee main percentile</t>
        </is>
      </c>
      <c r="H27" s="5" t="inlineStr">
        <is>
          <t>120 marks jee main, 120 score percentile, marks vs percentile 120</t>
        </is>
      </c>
      <c r="I27" s="5" t="inlineStr">
        <is>
          <t>JEE Main Marks to Percentile</t>
        </is>
      </c>
      <c r="J27" s="5" t="inlineStr">
        <is>
          <t>/jee/marks-to-percentile</t>
        </is>
      </c>
      <c r="K27" s="5" t="inlineStr">
        <is>
          <t>Analyze expected percentile bands across tough, moderate, and easy shifts for a raw score of 120 marks, explaining candidate competition and college opportunities.</t>
        </is>
      </c>
      <c r="L27" s="4" t="inlineStr">
        <is>
          <t>YES</t>
        </is>
      </c>
      <c r="M27" s="4" t="inlineStr">
        <is>
          <t>MEDIUM</t>
        </is>
      </c>
      <c r="N27" s="4" t="inlineStr">
        <is>
          <t>READY</t>
        </is>
      </c>
      <c r="O27" s="5" t="inlineStr"/>
      <c r="P27" s="5" t="inlineStr"/>
      <c r="Q27" s="5" t="inlineStr"/>
      <c r="R27" s="5" t="inlineStr"/>
    </row>
    <row r="28" ht="20" customHeight="1">
      <c r="A28" s="2" t="inlineStr">
        <is>
          <t>ST027</t>
        </is>
      </c>
      <c r="B28" s="3" t="inlineStr">
        <is>
          <t>130 Marks in JEE Main: Percentile Forecast and Mid-Tier NIT Branches</t>
        </is>
      </c>
      <c r="C28" s="2" t="inlineStr">
        <is>
          <t>JEE</t>
        </is>
      </c>
      <c r="D28" s="3" t="inlineStr">
        <is>
          <t>Marks &amp; Scoring</t>
        </is>
      </c>
      <c r="E28" s="2" t="inlineStr">
        <is>
          <t>Explanation</t>
        </is>
      </c>
      <c r="F28" s="2" t="inlineStr">
        <is>
          <t>Educational</t>
        </is>
      </c>
      <c r="G28" s="3" t="inlineStr">
        <is>
          <t>130 marks in jee main percentile</t>
        </is>
      </c>
      <c r="H28" s="3" t="inlineStr">
        <is>
          <t>130 marks jee main, 130 score percentile, marks vs percentile 130</t>
        </is>
      </c>
      <c r="I28" s="3" t="inlineStr">
        <is>
          <t>JEE Main Marks to Percentile</t>
        </is>
      </c>
      <c r="J28" s="3" t="inlineStr">
        <is>
          <t>/jee/marks-to-percentile</t>
        </is>
      </c>
      <c r="K28" s="3" t="inlineStr">
        <is>
          <t>Analyze expected percentile bands across tough, moderate, and easy shifts for a raw score of 130 marks, explaining candidate competition and college opportunities.</t>
        </is>
      </c>
      <c r="L28" s="2" t="inlineStr">
        <is>
          <t>YES</t>
        </is>
      </c>
      <c r="M28" s="2" t="inlineStr">
        <is>
          <t>HIGH</t>
        </is>
      </c>
      <c r="N28" s="2" t="inlineStr">
        <is>
          <t>READY</t>
        </is>
      </c>
      <c r="O28" s="3" t="inlineStr"/>
      <c r="P28" s="3" t="inlineStr"/>
      <c r="Q28" s="3" t="inlineStr"/>
      <c r="R28" s="3" t="inlineStr"/>
    </row>
    <row r="29" ht="20" customHeight="1">
      <c r="A29" s="4" t="inlineStr">
        <is>
          <t>ST028</t>
        </is>
      </c>
      <c r="B29" s="5" t="inlineStr">
        <is>
          <t>140 Marks in JEE Main: Expected Percentile and NIT Admission Prospects</t>
        </is>
      </c>
      <c r="C29" s="4" t="inlineStr">
        <is>
          <t>JEE</t>
        </is>
      </c>
      <c r="D29" s="5" t="inlineStr">
        <is>
          <t>Marks &amp; Scoring</t>
        </is>
      </c>
      <c r="E29" s="4" t="inlineStr">
        <is>
          <t>Explanation</t>
        </is>
      </c>
      <c r="F29" s="4" t="inlineStr">
        <is>
          <t>Educational</t>
        </is>
      </c>
      <c r="G29" s="5" t="inlineStr">
        <is>
          <t>140 marks in jee main percentile</t>
        </is>
      </c>
      <c r="H29" s="5" t="inlineStr">
        <is>
          <t>140 marks jee main, 140 score percentile, marks vs percentile 140</t>
        </is>
      </c>
      <c r="I29" s="5" t="inlineStr">
        <is>
          <t>JEE Main Marks to Percentile</t>
        </is>
      </c>
      <c r="J29" s="5" t="inlineStr">
        <is>
          <t>/jee/marks-to-percentile</t>
        </is>
      </c>
      <c r="K29" s="5" t="inlineStr">
        <is>
          <t>Analyze expected percentile bands across tough, moderate, and easy shifts for a raw score of 140 marks, explaining candidate competition and college opportunities.</t>
        </is>
      </c>
      <c r="L29" s="4" t="inlineStr">
        <is>
          <t>YES</t>
        </is>
      </c>
      <c r="M29" s="4" t="inlineStr">
        <is>
          <t>HIGH</t>
        </is>
      </c>
      <c r="N29" s="4" t="inlineStr">
        <is>
          <t>READY</t>
        </is>
      </c>
      <c r="O29" s="5" t="inlineStr"/>
      <c r="P29" s="5" t="inlineStr"/>
      <c r="Q29" s="5" t="inlineStr"/>
      <c r="R29" s="5" t="inlineStr"/>
    </row>
    <row r="30" ht="20" customHeight="1">
      <c r="A30" s="2" t="inlineStr">
        <is>
          <t>ST029</t>
        </is>
      </c>
      <c r="B30" s="3" t="inlineStr">
        <is>
          <t>Is 150 Marks in JEE Main Enough for NITs? Shift-Wise Analysis</t>
        </is>
      </c>
      <c r="C30" s="2" t="inlineStr">
        <is>
          <t>JEE</t>
        </is>
      </c>
      <c r="D30" s="3" t="inlineStr">
        <is>
          <t>Marks &amp; Scoring</t>
        </is>
      </c>
      <c r="E30" s="2" t="inlineStr">
        <is>
          <t>Explanation</t>
        </is>
      </c>
      <c r="F30" s="2" t="inlineStr">
        <is>
          <t>Educational</t>
        </is>
      </c>
      <c r="G30" s="3" t="inlineStr">
        <is>
          <t>150 marks in jee main percentile</t>
        </is>
      </c>
      <c r="H30" s="3" t="inlineStr">
        <is>
          <t>150 marks jee main, 150 score percentile, marks vs percentile 150</t>
        </is>
      </c>
      <c r="I30" s="3" t="inlineStr">
        <is>
          <t>JEE Main Marks to Percentile</t>
        </is>
      </c>
      <c r="J30" s="3" t="inlineStr">
        <is>
          <t>/jee/marks-to-percentile</t>
        </is>
      </c>
      <c r="K30" s="3" t="inlineStr">
        <is>
          <t>Analyze expected percentile bands across tough, moderate, and easy shifts for a raw score of 150 marks, explaining candidate competition and college opportunities.</t>
        </is>
      </c>
      <c r="L30" s="2" t="inlineStr">
        <is>
          <t>YES</t>
        </is>
      </c>
      <c r="M30" s="2" t="inlineStr">
        <is>
          <t>HIGH</t>
        </is>
      </c>
      <c r="N30" s="2" t="inlineStr">
        <is>
          <t>READY</t>
        </is>
      </c>
      <c r="O30" s="3" t="inlineStr"/>
      <c r="P30" s="3" t="inlineStr"/>
      <c r="Q30" s="3" t="inlineStr"/>
      <c r="R30" s="3" t="inlineStr"/>
    </row>
    <row r="31" ht="20" customHeight="1">
      <c r="A31" s="4" t="inlineStr">
        <is>
          <t>ST030</t>
        </is>
      </c>
      <c r="B31" s="5" t="inlineStr">
        <is>
          <t>160 Marks in JEE Main: What Percentile Can You Get Across Shifts?</t>
        </is>
      </c>
      <c r="C31" s="4" t="inlineStr">
        <is>
          <t>JEE</t>
        </is>
      </c>
      <c r="D31" s="5" t="inlineStr">
        <is>
          <t>Marks &amp; Scoring</t>
        </is>
      </c>
      <c r="E31" s="4" t="inlineStr">
        <is>
          <t>Explanation</t>
        </is>
      </c>
      <c r="F31" s="4" t="inlineStr">
        <is>
          <t>Educational</t>
        </is>
      </c>
      <c r="G31" s="5" t="inlineStr">
        <is>
          <t>160 marks in jee main percentile</t>
        </is>
      </c>
      <c r="H31" s="5" t="inlineStr">
        <is>
          <t>160 marks jee main, 160 score percentile, marks vs percentile 160</t>
        </is>
      </c>
      <c r="I31" s="5" t="inlineStr">
        <is>
          <t>JEE Main Marks to Percentile</t>
        </is>
      </c>
      <c r="J31" s="5" t="inlineStr">
        <is>
          <t>/jee/marks-to-percentile</t>
        </is>
      </c>
      <c r="K31" s="5" t="inlineStr">
        <is>
          <t>Analyze expected percentile bands across tough, moderate, and easy shifts for a raw score of 160 marks, explaining candidate competition and college opportunities.</t>
        </is>
      </c>
      <c r="L31" s="4" t="inlineStr">
        <is>
          <t>YES</t>
        </is>
      </c>
      <c r="M31" s="4" t="inlineStr">
        <is>
          <t>HIGH</t>
        </is>
      </c>
      <c r="N31" s="4" t="inlineStr">
        <is>
          <t>READY</t>
        </is>
      </c>
      <c r="O31" s="5" t="inlineStr"/>
      <c r="P31" s="5" t="inlineStr"/>
      <c r="Q31" s="5" t="inlineStr"/>
      <c r="R31" s="5" t="inlineStr"/>
    </row>
    <row r="32" ht="20" customHeight="1">
      <c r="A32" s="2" t="inlineStr">
        <is>
          <t>ST031</t>
        </is>
      </c>
      <c r="B32" s="3" t="inlineStr">
        <is>
          <t>170 Marks in JEE Main: Approaching the 98 Percentile Mark</t>
        </is>
      </c>
      <c r="C32" s="2" t="inlineStr">
        <is>
          <t>JEE</t>
        </is>
      </c>
      <c r="D32" s="3" t="inlineStr">
        <is>
          <t>Marks &amp; Scoring</t>
        </is>
      </c>
      <c r="E32" s="2" t="inlineStr">
        <is>
          <t>Explanation</t>
        </is>
      </c>
      <c r="F32" s="2" t="inlineStr">
        <is>
          <t>Educational</t>
        </is>
      </c>
      <c r="G32" s="3" t="inlineStr">
        <is>
          <t>170 marks in jee main percentile</t>
        </is>
      </c>
      <c r="H32" s="3" t="inlineStr">
        <is>
          <t>170 marks jee main, 170 score percentile, marks vs percentile 170</t>
        </is>
      </c>
      <c r="I32" s="3" t="inlineStr">
        <is>
          <t>JEE Main Marks to Percentile</t>
        </is>
      </c>
      <c r="J32" s="3" t="inlineStr">
        <is>
          <t>/jee/marks-to-percentile</t>
        </is>
      </c>
      <c r="K32" s="3" t="inlineStr">
        <is>
          <t>Analyze expected percentile bands across tough, moderate, and easy shifts for a raw score of 170 marks, explaining candidate competition and college opportunities.</t>
        </is>
      </c>
      <c r="L32" s="2" t="inlineStr">
        <is>
          <t>YES</t>
        </is>
      </c>
      <c r="M32" s="2" t="inlineStr">
        <is>
          <t>HIGH</t>
        </is>
      </c>
      <c r="N32" s="2" t="inlineStr">
        <is>
          <t>READY</t>
        </is>
      </c>
      <c r="O32" s="3" t="inlineStr"/>
      <c r="P32" s="3" t="inlineStr"/>
      <c r="Q32" s="3" t="inlineStr"/>
      <c r="R32" s="3" t="inlineStr"/>
    </row>
    <row r="33" ht="20" customHeight="1">
      <c r="A33" s="4" t="inlineStr">
        <is>
          <t>ST032</t>
        </is>
      </c>
      <c r="B33" s="5" t="inlineStr">
        <is>
          <t>180 Marks in JEE Main: Can You Cross the 98.5 Percentile Barrier?</t>
        </is>
      </c>
      <c r="C33" s="4" t="inlineStr">
        <is>
          <t>JEE</t>
        </is>
      </c>
      <c r="D33" s="5" t="inlineStr">
        <is>
          <t>Marks &amp; Scoring</t>
        </is>
      </c>
      <c r="E33" s="4" t="inlineStr">
        <is>
          <t>Explanation</t>
        </is>
      </c>
      <c r="F33" s="4" t="inlineStr">
        <is>
          <t>Educational</t>
        </is>
      </c>
      <c r="G33" s="5" t="inlineStr">
        <is>
          <t>180 marks in jee main percentile</t>
        </is>
      </c>
      <c r="H33" s="5" t="inlineStr">
        <is>
          <t>180 marks jee main, 180 score percentile, marks vs percentile 180</t>
        </is>
      </c>
      <c r="I33" s="5" t="inlineStr">
        <is>
          <t>JEE Main Marks to Percentile</t>
        </is>
      </c>
      <c r="J33" s="5" t="inlineStr">
        <is>
          <t>/jee/marks-to-percentile</t>
        </is>
      </c>
      <c r="K33" s="5" t="inlineStr">
        <is>
          <t>Analyze expected percentile bands across tough, moderate, and easy shifts for a raw score of 180 marks, explaining candidate competition and college opportunities.</t>
        </is>
      </c>
      <c r="L33" s="4" t="inlineStr">
        <is>
          <t>YES</t>
        </is>
      </c>
      <c r="M33" s="4" t="inlineStr">
        <is>
          <t>HIGH</t>
        </is>
      </c>
      <c r="N33" s="4" t="inlineStr">
        <is>
          <t>READY</t>
        </is>
      </c>
      <c r="O33" s="5" t="inlineStr"/>
      <c r="P33" s="5" t="inlineStr"/>
      <c r="Q33" s="5" t="inlineStr"/>
      <c r="R33" s="5" t="inlineStr"/>
    </row>
    <row r="34" ht="20" customHeight="1">
      <c r="A34" s="2" t="inlineStr">
        <is>
          <t>ST033</t>
        </is>
      </c>
      <c r="B34" s="3" t="inlineStr">
        <is>
          <t>190 Marks in JEE Main: Expected Percentile and Top 10 NIT Core Branches</t>
        </is>
      </c>
      <c r="C34" s="2" t="inlineStr">
        <is>
          <t>JEE</t>
        </is>
      </c>
      <c r="D34" s="3" t="inlineStr">
        <is>
          <t>Marks &amp; Scoring</t>
        </is>
      </c>
      <c r="E34" s="2" t="inlineStr">
        <is>
          <t>Explanation</t>
        </is>
      </c>
      <c r="F34" s="2" t="inlineStr">
        <is>
          <t>Educational</t>
        </is>
      </c>
      <c r="G34" s="3" t="inlineStr">
        <is>
          <t>190 marks in jee main percentile</t>
        </is>
      </c>
      <c r="H34" s="3" t="inlineStr">
        <is>
          <t>190 marks jee main, 190 score percentile, marks vs percentile 190</t>
        </is>
      </c>
      <c r="I34" s="3" t="inlineStr">
        <is>
          <t>JEE Main Marks to Percentile</t>
        </is>
      </c>
      <c r="J34" s="3" t="inlineStr">
        <is>
          <t>/jee/marks-to-percentile</t>
        </is>
      </c>
      <c r="K34" s="3" t="inlineStr">
        <is>
          <t>Analyze expected percentile bands across tough, moderate, and easy shifts for a raw score of 190 marks, explaining candidate competition and college opportunities.</t>
        </is>
      </c>
      <c r="L34" s="2" t="inlineStr">
        <is>
          <t>YES</t>
        </is>
      </c>
      <c r="M34" s="2" t="inlineStr">
        <is>
          <t>HIGH</t>
        </is>
      </c>
      <c r="N34" s="2" t="inlineStr">
        <is>
          <t>READY</t>
        </is>
      </c>
      <c r="O34" s="3" t="inlineStr"/>
      <c r="P34" s="3" t="inlineStr"/>
      <c r="Q34" s="3" t="inlineStr"/>
      <c r="R34" s="3" t="inlineStr"/>
    </row>
    <row r="35" ht="20" customHeight="1">
      <c r="A35" s="4" t="inlineStr">
        <is>
          <t>ST034</t>
        </is>
      </c>
      <c r="B35" s="5" t="inlineStr">
        <is>
          <t>200 Marks in JEE Main: Target Percentile and Top NIT Branch Opportunities</t>
        </is>
      </c>
      <c r="C35" s="4" t="inlineStr">
        <is>
          <t>JEE</t>
        </is>
      </c>
      <c r="D35" s="5" t="inlineStr">
        <is>
          <t>Marks &amp; Scoring</t>
        </is>
      </c>
      <c r="E35" s="4" t="inlineStr">
        <is>
          <t>Explanation</t>
        </is>
      </c>
      <c r="F35" s="4" t="inlineStr">
        <is>
          <t>Educational</t>
        </is>
      </c>
      <c r="G35" s="5" t="inlineStr">
        <is>
          <t>200 marks in jee main percentile</t>
        </is>
      </c>
      <c r="H35" s="5" t="inlineStr">
        <is>
          <t>200 marks jee main, 200 score percentile, marks vs percentile 200</t>
        </is>
      </c>
      <c r="I35" s="5" t="inlineStr">
        <is>
          <t>JEE Main Marks to Percentile</t>
        </is>
      </c>
      <c r="J35" s="5" t="inlineStr">
        <is>
          <t>/jee/marks-to-percentile</t>
        </is>
      </c>
      <c r="K35" s="5" t="inlineStr">
        <is>
          <t>Analyze expected percentile bands across tough, moderate, and easy shifts for a raw score of 200 marks, explaining candidate competition and college opportunities.</t>
        </is>
      </c>
      <c r="L35" s="4" t="inlineStr">
        <is>
          <t>YES</t>
        </is>
      </c>
      <c r="M35" s="4" t="inlineStr">
        <is>
          <t>HIGH</t>
        </is>
      </c>
      <c r="N35" s="4" t="inlineStr">
        <is>
          <t>READY</t>
        </is>
      </c>
      <c r="O35" s="5" t="inlineStr"/>
      <c r="P35" s="5" t="inlineStr"/>
      <c r="Q35" s="5" t="inlineStr"/>
      <c r="R35" s="5" t="inlineStr"/>
    </row>
    <row r="36" ht="20" customHeight="1">
      <c r="A36" s="2" t="inlineStr">
        <is>
          <t>ST035</t>
        </is>
      </c>
      <c r="B36" s="3" t="inlineStr">
        <is>
          <t>210 Marks in JEE Main: Breaking into 99.2+ Percentile Club</t>
        </is>
      </c>
      <c r="C36" s="2" t="inlineStr">
        <is>
          <t>JEE</t>
        </is>
      </c>
      <c r="D36" s="3" t="inlineStr">
        <is>
          <t>Marks &amp; Scoring</t>
        </is>
      </c>
      <c r="E36" s="2" t="inlineStr">
        <is>
          <t>Explanation</t>
        </is>
      </c>
      <c r="F36" s="2" t="inlineStr">
        <is>
          <t>Educational</t>
        </is>
      </c>
      <c r="G36" s="3" t="inlineStr">
        <is>
          <t>210 marks in jee main percentile</t>
        </is>
      </c>
      <c r="H36" s="3" t="inlineStr">
        <is>
          <t>210 marks jee main, 210 score percentile, marks vs percentile 210</t>
        </is>
      </c>
      <c r="I36" s="3" t="inlineStr">
        <is>
          <t>JEE Main Marks to Percentile</t>
        </is>
      </c>
      <c r="J36" s="3" t="inlineStr">
        <is>
          <t>/jee/marks-to-percentile</t>
        </is>
      </c>
      <c r="K36" s="3" t="inlineStr">
        <is>
          <t>Analyze expected percentile bands across tough, moderate, and easy shifts for a raw score of 210 marks, explaining candidate competition and college opportunities.</t>
        </is>
      </c>
      <c r="L36" s="2" t="inlineStr">
        <is>
          <t>YES</t>
        </is>
      </c>
      <c r="M36" s="2" t="inlineStr">
        <is>
          <t>HIGH</t>
        </is>
      </c>
      <c r="N36" s="2" t="inlineStr">
        <is>
          <t>READY</t>
        </is>
      </c>
      <c r="O36" s="3" t="inlineStr"/>
      <c r="P36" s="3" t="inlineStr"/>
      <c r="Q36" s="3" t="inlineStr"/>
      <c r="R36" s="3" t="inlineStr"/>
    </row>
    <row r="37" ht="20" customHeight="1">
      <c r="A37" s="4" t="inlineStr">
        <is>
          <t>ST036</t>
        </is>
      </c>
      <c r="B37" s="5" t="inlineStr">
        <is>
          <t>220 Marks in JEE Main: Expected Percentile and Top 5 NIT CSE Chances</t>
        </is>
      </c>
      <c r="C37" s="4" t="inlineStr">
        <is>
          <t>JEE</t>
        </is>
      </c>
      <c r="D37" s="5" t="inlineStr">
        <is>
          <t>Marks &amp; Scoring</t>
        </is>
      </c>
      <c r="E37" s="4" t="inlineStr">
        <is>
          <t>Explanation</t>
        </is>
      </c>
      <c r="F37" s="4" t="inlineStr">
        <is>
          <t>Educational</t>
        </is>
      </c>
      <c r="G37" s="5" t="inlineStr">
        <is>
          <t>220 marks in jee main percentile</t>
        </is>
      </c>
      <c r="H37" s="5" t="inlineStr">
        <is>
          <t>220 marks jee main, 220 score percentile, marks vs percentile 220</t>
        </is>
      </c>
      <c r="I37" s="5" t="inlineStr">
        <is>
          <t>JEE Main Marks to Percentile</t>
        </is>
      </c>
      <c r="J37" s="5" t="inlineStr">
        <is>
          <t>/jee/marks-to-percentile</t>
        </is>
      </c>
      <c r="K37" s="5" t="inlineStr">
        <is>
          <t>Analyze expected percentile bands across tough, moderate, and easy shifts for a raw score of 220 marks, explaining candidate competition and college opportunities.</t>
        </is>
      </c>
      <c r="L37" s="4" t="inlineStr">
        <is>
          <t>YES</t>
        </is>
      </c>
      <c r="M37" s="4" t="inlineStr">
        <is>
          <t>HIGH</t>
        </is>
      </c>
      <c r="N37" s="4" t="inlineStr">
        <is>
          <t>READY</t>
        </is>
      </c>
      <c r="O37" s="5" t="inlineStr"/>
      <c r="P37" s="5" t="inlineStr"/>
      <c r="Q37" s="5" t="inlineStr"/>
      <c r="R37" s="5" t="inlineStr"/>
    </row>
    <row r="38" ht="20" customHeight="1">
      <c r="A38" s="2" t="inlineStr">
        <is>
          <t>ST037</t>
        </is>
      </c>
      <c r="B38" s="3" t="inlineStr">
        <is>
          <t>230 Marks in JEE Main: Pathway to 99.5+ Percentile and Under 5000 Rank</t>
        </is>
      </c>
      <c r="C38" s="2" t="inlineStr">
        <is>
          <t>JEE</t>
        </is>
      </c>
      <c r="D38" s="3" t="inlineStr">
        <is>
          <t>Marks &amp; Scoring</t>
        </is>
      </c>
      <c r="E38" s="2" t="inlineStr">
        <is>
          <t>Explanation</t>
        </is>
      </c>
      <c r="F38" s="2" t="inlineStr">
        <is>
          <t>Educational</t>
        </is>
      </c>
      <c r="G38" s="3" t="inlineStr">
        <is>
          <t>230 marks in jee main percentile</t>
        </is>
      </c>
      <c r="H38" s="3" t="inlineStr">
        <is>
          <t>230 marks jee main, 230 score percentile, marks vs percentile 230</t>
        </is>
      </c>
      <c r="I38" s="3" t="inlineStr">
        <is>
          <t>JEE Main Marks to Percentile</t>
        </is>
      </c>
      <c r="J38" s="3" t="inlineStr">
        <is>
          <t>/jee/marks-to-percentile</t>
        </is>
      </c>
      <c r="K38" s="3" t="inlineStr">
        <is>
          <t>Analyze expected percentile bands across tough, moderate, and easy shifts for a raw score of 230 marks, explaining candidate competition and college opportunities.</t>
        </is>
      </c>
      <c r="L38" s="2" t="inlineStr">
        <is>
          <t>YES</t>
        </is>
      </c>
      <c r="M38" s="2" t="inlineStr">
        <is>
          <t>HIGH</t>
        </is>
      </c>
      <c r="N38" s="2" t="inlineStr">
        <is>
          <t>READY</t>
        </is>
      </c>
      <c r="O38" s="3" t="inlineStr"/>
      <c r="P38" s="3" t="inlineStr"/>
      <c r="Q38" s="3" t="inlineStr"/>
      <c r="R38" s="3" t="inlineStr"/>
    </row>
    <row r="39" ht="20" customHeight="1">
      <c r="A39" s="4" t="inlineStr">
        <is>
          <t>ST038</t>
        </is>
      </c>
      <c r="B39" s="5" t="inlineStr">
        <is>
          <t>240+ Marks in JEE Main: Road to 99.7+ Percentile and Elite NIT Seats</t>
        </is>
      </c>
      <c r="C39" s="4" t="inlineStr">
        <is>
          <t>JEE</t>
        </is>
      </c>
      <c r="D39" s="5" t="inlineStr">
        <is>
          <t>Marks &amp; Scoring</t>
        </is>
      </c>
      <c r="E39" s="4" t="inlineStr">
        <is>
          <t>Explanation</t>
        </is>
      </c>
      <c r="F39" s="4" t="inlineStr">
        <is>
          <t>Educational</t>
        </is>
      </c>
      <c r="G39" s="5" t="inlineStr">
        <is>
          <t>240 marks in jee main percentile</t>
        </is>
      </c>
      <c r="H39" s="5" t="inlineStr">
        <is>
          <t>240 marks jee main, 240 score percentile, marks vs percentile 240</t>
        </is>
      </c>
      <c r="I39" s="5" t="inlineStr">
        <is>
          <t>JEE Main Marks to Percentile</t>
        </is>
      </c>
      <c r="J39" s="5" t="inlineStr">
        <is>
          <t>/jee/marks-to-percentile</t>
        </is>
      </c>
      <c r="K39" s="5" t="inlineStr">
        <is>
          <t>Analyze expected percentile bands across tough, moderate, and easy shifts for a raw score of 240 marks, explaining candidate competition and college opportunities.</t>
        </is>
      </c>
      <c r="L39" s="4" t="inlineStr">
        <is>
          <t>YES</t>
        </is>
      </c>
      <c r="M39" s="4" t="inlineStr">
        <is>
          <t>HIGH</t>
        </is>
      </c>
      <c r="N39" s="4" t="inlineStr">
        <is>
          <t>READY</t>
        </is>
      </c>
      <c r="O39" s="5" t="inlineStr"/>
      <c r="P39" s="5" t="inlineStr"/>
      <c r="Q39" s="5" t="inlineStr"/>
      <c r="R39" s="5" t="inlineStr"/>
    </row>
    <row r="40" ht="20" customHeight="1">
      <c r="A40" s="2" t="inlineStr">
        <is>
          <t>ST039</t>
        </is>
      </c>
      <c r="B40" s="3" t="inlineStr">
        <is>
          <t>250 Marks in JEE Main: Securing Top 2000 All India Rank</t>
        </is>
      </c>
      <c r="C40" s="2" t="inlineStr">
        <is>
          <t>JEE</t>
        </is>
      </c>
      <c r="D40" s="3" t="inlineStr">
        <is>
          <t>Marks &amp; Scoring</t>
        </is>
      </c>
      <c r="E40" s="2" t="inlineStr">
        <is>
          <t>Explanation</t>
        </is>
      </c>
      <c r="F40" s="2" t="inlineStr">
        <is>
          <t>Educational</t>
        </is>
      </c>
      <c r="G40" s="3" t="inlineStr">
        <is>
          <t>250 marks in jee main percentile</t>
        </is>
      </c>
      <c r="H40" s="3" t="inlineStr">
        <is>
          <t>250 marks jee main, 250 score percentile, marks vs percentile 250</t>
        </is>
      </c>
      <c r="I40" s="3" t="inlineStr">
        <is>
          <t>JEE Main Marks to Percentile</t>
        </is>
      </c>
      <c r="J40" s="3" t="inlineStr">
        <is>
          <t>/jee/marks-to-percentile</t>
        </is>
      </c>
      <c r="K40" s="3" t="inlineStr">
        <is>
          <t>Analyze expected percentile bands across tough, moderate, and easy shifts for a raw score of 250 marks, explaining candidate competition and college opportunities.</t>
        </is>
      </c>
      <c r="L40" s="2" t="inlineStr">
        <is>
          <t>YES</t>
        </is>
      </c>
      <c r="M40" s="2" t="inlineStr">
        <is>
          <t>HIGH</t>
        </is>
      </c>
      <c r="N40" s="2" t="inlineStr">
        <is>
          <t>READY</t>
        </is>
      </c>
      <c r="O40" s="3" t="inlineStr"/>
      <c r="P40" s="3" t="inlineStr"/>
      <c r="Q40" s="3" t="inlineStr"/>
      <c r="R40" s="3" t="inlineStr"/>
    </row>
    <row r="41" ht="20" customHeight="1">
      <c r="A41" s="4" t="inlineStr">
        <is>
          <t>ST040</t>
        </is>
      </c>
      <c r="B41" s="5" t="inlineStr">
        <is>
          <t>270+ Marks in JEE Main: What Does It Take to Reach the 99.9 Percentile?</t>
        </is>
      </c>
      <c r="C41" s="4" t="inlineStr">
        <is>
          <t>JEE</t>
        </is>
      </c>
      <c r="D41" s="5" t="inlineStr">
        <is>
          <t>Marks &amp; Scoring</t>
        </is>
      </c>
      <c r="E41" s="4" t="inlineStr">
        <is>
          <t>Explanation</t>
        </is>
      </c>
      <c r="F41" s="4" t="inlineStr">
        <is>
          <t>Educational</t>
        </is>
      </c>
      <c r="G41" s="5" t="inlineStr">
        <is>
          <t>270 marks in jee main percentile</t>
        </is>
      </c>
      <c r="H41" s="5" t="inlineStr">
        <is>
          <t>270 marks jee main, 270 score percentile, marks vs percentile 270</t>
        </is>
      </c>
      <c r="I41" s="5" t="inlineStr">
        <is>
          <t>JEE Main Marks to Percentile</t>
        </is>
      </c>
      <c r="J41" s="5" t="inlineStr">
        <is>
          <t>/jee/marks-to-percentile</t>
        </is>
      </c>
      <c r="K41" s="5" t="inlineStr">
        <is>
          <t>Analyze expected percentile bands across tough, moderate, and easy shifts for a raw score of 270 marks, explaining candidate competition and college opportunities.</t>
        </is>
      </c>
      <c r="L41" s="4" t="inlineStr">
        <is>
          <t>YES</t>
        </is>
      </c>
      <c r="M41" s="4" t="inlineStr">
        <is>
          <t>HIGH</t>
        </is>
      </c>
      <c r="N41" s="4" t="inlineStr">
        <is>
          <t>READY</t>
        </is>
      </c>
      <c r="O41" s="5" t="inlineStr"/>
      <c r="P41" s="5" t="inlineStr"/>
      <c r="Q41" s="5" t="inlineStr"/>
      <c r="R41" s="5" t="inlineStr"/>
    </row>
    <row r="42" ht="20" customHeight="1">
      <c r="A42" s="2" t="inlineStr">
        <is>
          <t>ST041</t>
        </is>
      </c>
      <c r="B42" s="3" t="inlineStr">
        <is>
          <t>How NTA Normalization Formula Works in JEE Main: Complete Mathematical Guide</t>
        </is>
      </c>
      <c r="C42" s="2" t="inlineStr">
        <is>
          <t>JEE</t>
        </is>
      </c>
      <c r="D42" s="3" t="inlineStr">
        <is>
          <t>Percentile</t>
        </is>
      </c>
      <c r="E42" s="2" t="inlineStr">
        <is>
          <t>Formula Guide</t>
        </is>
      </c>
      <c r="F42" s="2" t="inlineStr">
        <is>
          <t>Educational</t>
        </is>
      </c>
      <c r="G42" s="3" t="inlineStr">
        <is>
          <t>how nta normalization works in jee main</t>
        </is>
      </c>
      <c r="H42" s="3" t="inlineStr">
        <is>
          <t>nta percentile formula, jee normalization process, normal distribution jee main score</t>
        </is>
      </c>
      <c r="I42" s="3" t="inlineStr">
        <is>
          <t>JEE Main Marks to Percentile</t>
        </is>
      </c>
      <c r="J42" s="3" t="inlineStr">
        <is>
          <t>/jee/marks-to-percentile</t>
        </is>
      </c>
      <c r="K42" s="3" t="inlineStr">
        <is>
          <t>Dissect NTA official percentile formula: 100 * (Number of candidates appeared in session with raw score &lt;= candidate) / Total candidates in session. Explain 7 decimal places.</t>
        </is>
      </c>
      <c r="L42" s="2" t="inlineStr">
        <is>
          <t>YES</t>
        </is>
      </c>
      <c r="M42" s="2" t="inlineStr">
        <is>
          <t>HIGH</t>
        </is>
      </c>
      <c r="N42" s="2" t="inlineStr">
        <is>
          <t>READY</t>
        </is>
      </c>
      <c r="O42" s="3" t="inlineStr"/>
      <c r="P42" s="3" t="inlineStr"/>
      <c r="Q42" s="3" t="inlineStr"/>
      <c r="R42" s="3" t="inlineStr"/>
    </row>
    <row r="43" ht="20" customHeight="1">
      <c r="A43" s="4" t="inlineStr">
        <is>
          <t>ST042</t>
        </is>
      </c>
      <c r="B43" s="5" t="inlineStr">
        <is>
          <t>Difference Between Percentage and Percentile in JEE Main Scorecard</t>
        </is>
      </c>
      <c r="C43" s="4" t="inlineStr">
        <is>
          <t>JEE</t>
        </is>
      </c>
      <c r="D43" s="5" t="inlineStr">
        <is>
          <t>Percentile</t>
        </is>
      </c>
      <c r="E43" s="4" t="inlineStr">
        <is>
          <t>Comparison</t>
        </is>
      </c>
      <c r="F43" s="4" t="inlineStr">
        <is>
          <t>Educational</t>
        </is>
      </c>
      <c r="G43" s="5" t="inlineStr">
        <is>
          <t>percentage vs percentile in jee main</t>
        </is>
      </c>
      <c r="H43" s="5" t="inlineStr">
        <is>
          <t>percentile meaning in jee, is 90 percentile equal to 90 percent, jee marks percentage vs percentile</t>
        </is>
      </c>
      <c r="I43" s="5" t="inlineStr">
        <is>
          <t>JEE Main Marks to Percentile</t>
        </is>
      </c>
      <c r="J43" s="5" t="inlineStr">
        <is>
          <t>/jee/marks-to-percentile</t>
        </is>
      </c>
      <c r="K43" s="5" t="inlineStr">
        <is>
          <t>Clarify the critical distinction: percentage represents marks scored out of maximum marks (300), while percentile represents relative ranking against peers in your session.</t>
        </is>
      </c>
      <c r="L43" s="4" t="inlineStr">
        <is>
          <t>YES</t>
        </is>
      </c>
      <c r="M43" s="4" t="inlineStr">
        <is>
          <t>HIGH</t>
        </is>
      </c>
      <c r="N43" s="4" t="inlineStr">
        <is>
          <t>READY</t>
        </is>
      </c>
      <c r="O43" s="5" t="inlineStr"/>
      <c r="P43" s="5" t="inlineStr"/>
      <c r="Q43" s="5" t="inlineStr"/>
      <c r="R43" s="5" t="inlineStr"/>
    </row>
    <row r="44" ht="20" customHeight="1">
      <c r="A44" s="2" t="inlineStr">
        <is>
          <t>ST043</t>
        </is>
      </c>
      <c r="B44" s="3" t="inlineStr">
        <is>
          <t>Why Does NTA Calculate JEE Main Percentile Up to 7 Decimal Places?</t>
        </is>
      </c>
      <c r="C44" s="2" t="inlineStr">
        <is>
          <t>JEE</t>
        </is>
      </c>
      <c r="D44" s="3" t="inlineStr">
        <is>
          <t>Percentile</t>
        </is>
      </c>
      <c r="E44" s="2" t="inlineStr">
        <is>
          <t>Explanation</t>
        </is>
      </c>
      <c r="F44" s="2" t="inlineStr">
        <is>
          <t>Informational</t>
        </is>
      </c>
      <c r="G44" s="3" t="inlineStr">
        <is>
          <t>why jee percentile has 7 decimal places</t>
        </is>
      </c>
      <c r="H44" s="3" t="inlineStr">
        <is>
          <t>7 decimal places nta score, tie breaking decimals jee, percentile precision nta</t>
        </is>
      </c>
      <c r="I44" s="3" t="inlineStr">
        <is>
          <t>JEE Main Marks to Percentile</t>
        </is>
      </c>
      <c r="J44" s="3" t="inlineStr">
        <is>
          <t>/jee/marks-to-percentile</t>
        </is>
      </c>
      <c r="K44" s="3" t="inlineStr">
        <is>
          <t>Explain how with 12 to 14 lakh candidates, 7 decimals are mathematically necessary to distinguish individual candidates and avoid thousands of rank ties.</t>
        </is>
      </c>
      <c r="L44" s="2" t="inlineStr">
        <is>
          <t>YES</t>
        </is>
      </c>
      <c r="M44" s="2" t="inlineStr">
        <is>
          <t>MEDIUM</t>
        </is>
      </c>
      <c r="N44" s="2" t="inlineStr">
        <is>
          <t>READY</t>
        </is>
      </c>
      <c r="O44" s="3" t="inlineStr"/>
      <c r="P44" s="3" t="inlineStr"/>
      <c r="Q44" s="3" t="inlineStr"/>
      <c r="R44" s="3" t="inlineStr"/>
    </row>
    <row r="45" ht="20" customHeight="1">
      <c r="A45" s="4" t="inlineStr">
        <is>
          <t>ST044</t>
        </is>
      </c>
      <c r="B45" s="5" t="inlineStr">
        <is>
          <t>How to Interpret Your NTA Scorecard: Session 1 vs Session 2 Best Score Rule</t>
        </is>
      </c>
      <c r="C45" s="4" t="inlineStr">
        <is>
          <t>JEE</t>
        </is>
      </c>
      <c r="D45" s="5" t="inlineStr">
        <is>
          <t>Percentile</t>
        </is>
      </c>
      <c r="E45" s="4" t="inlineStr">
        <is>
          <t>Guide</t>
        </is>
      </c>
      <c r="F45" s="4" t="inlineStr">
        <is>
          <t>How-To</t>
        </is>
      </c>
      <c r="G45" s="5" t="inlineStr">
        <is>
          <t>how nta combines session 1 and session 2 scores</t>
        </is>
      </c>
      <c r="H45" s="5" t="inlineStr">
        <is>
          <t>best of two sessions jee, jee final percentile calculation, combined scorecard nta</t>
        </is>
      </c>
      <c r="I45" s="5" t="inlineStr">
        <is>
          <t>JEE Main Marks to Percentile</t>
        </is>
      </c>
      <c r="J45" s="5" t="inlineStr">
        <is>
          <t>/jee/marks-to-percentile</t>
        </is>
      </c>
      <c r="K45" s="5" t="inlineStr">
        <is>
          <t>Explain how NTA merges Session 1 and Session 2 percentiles, taking the best overall percentile for CRL generation, not the average.</t>
        </is>
      </c>
      <c r="L45" s="4" t="inlineStr">
        <is>
          <t>YES</t>
        </is>
      </c>
      <c r="M45" s="4" t="inlineStr">
        <is>
          <t>HIGH</t>
        </is>
      </c>
      <c r="N45" s="4" t="inlineStr">
        <is>
          <t>READY</t>
        </is>
      </c>
      <c r="O45" s="5" t="inlineStr"/>
      <c r="P45" s="5" t="inlineStr"/>
      <c r="Q45" s="5" t="inlineStr"/>
      <c r="R45" s="5" t="inlineStr"/>
    </row>
    <row r="46" ht="20" customHeight="1">
      <c r="A46" s="2" t="inlineStr">
        <is>
          <t>ST045</t>
        </is>
      </c>
      <c r="B46" s="3" t="inlineStr">
        <is>
          <t>Can Your JEE Main Percentile Decrease in Session 2?</t>
        </is>
      </c>
      <c r="C46" s="2" t="inlineStr">
        <is>
          <t>JEE</t>
        </is>
      </c>
      <c r="D46" s="3" t="inlineStr">
        <is>
          <t>Percentile</t>
        </is>
      </c>
      <c r="E46" s="2" t="inlineStr">
        <is>
          <t>Explanation</t>
        </is>
      </c>
      <c r="F46" s="2" t="inlineStr">
        <is>
          <t>Informational</t>
        </is>
      </c>
      <c r="G46" s="3" t="inlineStr">
        <is>
          <t>can jee percentile decrease in session 2</t>
        </is>
      </c>
      <c r="H46" s="3" t="inlineStr">
        <is>
          <t>does session 2 lower your rank, best score rule jee, appearing in both sessions jee</t>
        </is>
      </c>
      <c r="I46" s="3" t="inlineStr">
        <is>
          <t>JEE Main Marks to Percentile</t>
        </is>
      </c>
      <c r="J46" s="3" t="inlineStr">
        <is>
          <t>/jee/marks-to-percentile</t>
        </is>
      </c>
      <c r="K46" s="3" t="inlineStr">
        <is>
          <t>Reassure students that appearing in Session 2 carries zero downside risk because only their best NTA score is considered for final merit rank.</t>
        </is>
      </c>
      <c r="L46" s="2" t="inlineStr">
        <is>
          <t>YES</t>
        </is>
      </c>
      <c r="M46" s="2" t="inlineStr">
        <is>
          <t>HIGH</t>
        </is>
      </c>
      <c r="N46" s="2" t="inlineStr">
        <is>
          <t>READY</t>
        </is>
      </c>
      <c r="O46" s="3" t="inlineStr"/>
      <c r="P46" s="3" t="inlineStr"/>
      <c r="Q46" s="3" t="inlineStr"/>
      <c r="R46" s="3" t="inlineStr"/>
    </row>
    <row r="47" ht="20" customHeight="1">
      <c r="A47" s="4" t="inlineStr">
        <is>
          <t>ST046</t>
        </is>
      </c>
      <c r="B47" s="5" t="inlineStr">
        <is>
          <t>What Does 99 Percentile Mean in JEE Main in Terms of Candidates and Rank?</t>
        </is>
      </c>
      <c r="C47" s="4" t="inlineStr">
        <is>
          <t>JEE</t>
        </is>
      </c>
      <c r="D47" s="5" t="inlineStr">
        <is>
          <t>Percentile</t>
        </is>
      </c>
      <c r="E47" s="4" t="inlineStr">
        <is>
          <t>Explanation</t>
        </is>
      </c>
      <c r="F47" s="4" t="inlineStr">
        <is>
          <t>Educational</t>
        </is>
      </c>
      <c r="G47" s="5" t="inlineStr">
        <is>
          <t>what is 99 percentile in jee main</t>
        </is>
      </c>
      <c r="H47" s="5" t="inlineStr">
        <is>
          <t>how many students get 99 percentile, rank for 99 percentile jee, marks needed for 99 percentile</t>
        </is>
      </c>
      <c r="I47" s="5" t="inlineStr">
        <is>
          <t>JEE Main Marks to Percentile</t>
        </is>
      </c>
      <c r="J47" s="5" t="inlineStr">
        <is>
          <t>/jee/marks-to-percentile</t>
        </is>
      </c>
      <c r="K47" s="5" t="inlineStr">
        <is>
          <t>Calculate the top 1% cohort out of ~12 lakh test-takers (~12,000 rank), college options available, and required raw score ranges.</t>
        </is>
      </c>
      <c r="L47" s="4" t="inlineStr">
        <is>
          <t>YES</t>
        </is>
      </c>
      <c r="M47" s="4" t="inlineStr">
        <is>
          <t>HIGH</t>
        </is>
      </c>
      <c r="N47" s="4" t="inlineStr">
        <is>
          <t>READY</t>
        </is>
      </c>
      <c r="O47" s="5" t="inlineStr"/>
      <c r="P47" s="5" t="inlineStr"/>
      <c r="Q47" s="5" t="inlineStr"/>
      <c r="R47" s="5" t="inlineStr"/>
    </row>
    <row r="48" ht="20" customHeight="1">
      <c r="A48" s="2" t="inlineStr">
        <is>
          <t>ST047</t>
        </is>
      </c>
      <c r="B48" s="3" t="inlineStr">
        <is>
          <t>Understanding the Difference Between Subject Percentile and Total Percentile</t>
        </is>
      </c>
      <c r="C48" s="2" t="inlineStr">
        <is>
          <t>JEE</t>
        </is>
      </c>
      <c r="D48" s="3" t="inlineStr">
        <is>
          <t>Percentile</t>
        </is>
      </c>
      <c r="E48" s="2" t="inlineStr">
        <is>
          <t>Explanation</t>
        </is>
      </c>
      <c r="F48" s="2" t="inlineStr">
        <is>
          <t>Educational</t>
        </is>
      </c>
      <c r="G48" s="3" t="inlineStr">
        <is>
          <t>subject percentile vs total percentile jee</t>
        </is>
      </c>
      <c r="H48" s="3" t="inlineStr">
        <is>
          <t>why total percentile is not average of subjects, physics maths chemistry percentile, nta composite score</t>
        </is>
      </c>
      <c r="I48" s="3" t="inlineStr">
        <is>
          <t>JEE Main Marks to Percentile</t>
        </is>
      </c>
      <c r="J48" s="3" t="inlineStr">
        <is>
          <t>/jee/marks-to-percentile</t>
        </is>
      </c>
      <c r="K48" s="3" t="inlineStr">
        <is>
          <t>Explain why total NTA percentile is calculated independently based on total composite marks and is NOT the arithmetic average of PCM percentiles.</t>
        </is>
      </c>
      <c r="L48" s="2" t="inlineStr">
        <is>
          <t>YES</t>
        </is>
      </c>
      <c r="M48" s="2" t="inlineStr">
        <is>
          <t>HIGH</t>
        </is>
      </c>
      <c r="N48" s="2" t="inlineStr">
        <is>
          <t>READY</t>
        </is>
      </c>
      <c r="O48" s="3" t="inlineStr"/>
      <c r="P48" s="3" t="inlineStr"/>
      <c r="Q48" s="3" t="inlineStr"/>
      <c r="R48" s="3" t="inlineStr"/>
    </row>
    <row r="49" ht="20" customHeight="1">
      <c r="A49" s="4" t="inlineStr">
        <is>
          <t>ST048</t>
        </is>
      </c>
      <c r="B49" s="5" t="inlineStr">
        <is>
          <t>How Tough Shifts Benefit Students in JEE Main Normalization</t>
        </is>
      </c>
      <c r="C49" s="4" t="inlineStr">
        <is>
          <t>JEE</t>
        </is>
      </c>
      <c r="D49" s="5" t="inlineStr">
        <is>
          <t>Percentile</t>
        </is>
      </c>
      <c r="E49" s="4" t="inlineStr">
        <is>
          <t>Explanation</t>
        </is>
      </c>
      <c r="F49" s="4" t="inlineStr">
        <is>
          <t>Educational</t>
        </is>
      </c>
      <c r="G49" s="5" t="inlineStr">
        <is>
          <t>does tough shift help in jee normalization</t>
        </is>
      </c>
      <c r="H49" s="5" t="inlineStr">
        <is>
          <t>easiest vs toughest shift percentile, shift normalization advantage, jee tough paper percentile boost</t>
        </is>
      </c>
      <c r="I49" s="5" t="inlineStr">
        <is>
          <t>JEE Main Marks to Percentile</t>
        </is>
      </c>
      <c r="J49" s="5" t="inlineStr">
        <is>
          <t>/jee/marks-to-percentile</t>
        </is>
      </c>
      <c r="K49" s="5" t="inlineStr">
        <is>
          <t>Explain how low session averages in difficult papers mean that even 170 marks can yield a 99.2 percentile, whereas in easy papers 210 might be needed.</t>
        </is>
      </c>
      <c r="L49" s="4" t="inlineStr">
        <is>
          <t>YES</t>
        </is>
      </c>
      <c r="M49" s="4" t="inlineStr">
        <is>
          <t>MEDIUM</t>
        </is>
      </c>
      <c r="N49" s="4" t="inlineStr">
        <is>
          <t>READY</t>
        </is>
      </c>
      <c r="O49" s="5" t="inlineStr"/>
      <c r="P49" s="5" t="inlineStr"/>
      <c r="Q49" s="5" t="inlineStr"/>
      <c r="R49" s="5" t="inlineStr"/>
    </row>
    <row r="50" ht="20" customHeight="1">
      <c r="A50" s="2" t="inlineStr">
        <is>
          <t>ST049</t>
        </is>
      </c>
      <c r="B50" s="3" t="inlineStr">
        <is>
          <t>Why Do Two Candidates with the Same Raw Marks Get Different Percentiles?</t>
        </is>
      </c>
      <c r="C50" s="2" t="inlineStr">
        <is>
          <t>JEE</t>
        </is>
      </c>
      <c r="D50" s="3" t="inlineStr">
        <is>
          <t>Percentile</t>
        </is>
      </c>
      <c r="E50" s="2" t="inlineStr">
        <is>
          <t>Explanation</t>
        </is>
      </c>
      <c r="F50" s="2" t="inlineStr">
        <is>
          <t>Educational</t>
        </is>
      </c>
      <c r="G50" s="3" t="inlineStr">
        <is>
          <t>same marks different percentile jee main</t>
        </is>
      </c>
      <c r="H50" s="3" t="inlineStr">
        <is>
          <t>shift difference jee marks, normalization shift disparity, raw score variance across days</t>
        </is>
      </c>
      <c r="I50" s="3" t="inlineStr">
        <is>
          <t>JEE Main Marks to Percentile</t>
        </is>
      </c>
      <c r="J50" s="3" t="inlineStr">
        <is>
          <t>/jee/marks-to-percentile</t>
        </is>
      </c>
      <c r="K50" s="3" t="inlineStr">
        <is>
          <t>Illustrate with concrete example: candidate A scoring 180 in Jan 27 shift 1 vs candidate B scoring 180 in Jan 31 shift 2, showing how peer distributions determine percentile.</t>
        </is>
      </c>
      <c r="L50" s="2" t="inlineStr">
        <is>
          <t>YES</t>
        </is>
      </c>
      <c r="M50" s="2" t="inlineStr">
        <is>
          <t>HIGH</t>
        </is>
      </c>
      <c r="N50" s="2" t="inlineStr">
        <is>
          <t>READY</t>
        </is>
      </c>
      <c r="O50" s="3" t="inlineStr"/>
      <c r="P50" s="3" t="inlineStr"/>
      <c r="Q50" s="3" t="inlineStr"/>
      <c r="R50" s="3" t="inlineStr"/>
    </row>
    <row r="51" ht="20" customHeight="1">
      <c r="A51" s="4" t="inlineStr">
        <is>
          <t>ST050</t>
        </is>
      </c>
      <c r="B51" s="5" t="inlineStr">
        <is>
          <t>Percentile Inflation in JEE Main: What Causes It and How to Plan for It</t>
        </is>
      </c>
      <c r="C51" s="4" t="inlineStr">
        <is>
          <t>JEE</t>
        </is>
      </c>
      <c r="D51" s="5" t="inlineStr">
        <is>
          <t>Percentile</t>
        </is>
      </c>
      <c r="E51" s="4" t="inlineStr">
        <is>
          <t>Explanation</t>
        </is>
      </c>
      <c r="F51" s="4" t="inlineStr">
        <is>
          <t>Informational</t>
        </is>
      </c>
      <c r="G51" s="5" t="inlineStr">
        <is>
          <t>jee main percentile inflation</t>
        </is>
      </c>
      <c r="H51" s="5" t="inlineStr">
        <is>
          <t>why cutoff percentiles rise, more candidates appearing jee, percentile competition trends</t>
        </is>
      </c>
      <c r="I51" s="5" t="inlineStr">
        <is>
          <t>JEE Main Marks to Percentile</t>
        </is>
      </c>
      <c r="J51" s="5" t="inlineStr">
        <is>
          <t>/jee/marks-to-percentile</t>
        </is>
      </c>
      <c r="K51" s="5" t="inlineStr">
        <is>
          <t>Analyze how increasing candidate counts (from 9 lakhs to 12+ lakhs) increases the absolute number of candidates ahead of any given percentile value.</t>
        </is>
      </c>
      <c r="L51" s="4" t="inlineStr">
        <is>
          <t>YES</t>
        </is>
      </c>
      <c r="M51" s="4" t="inlineStr">
        <is>
          <t>MEDIUM</t>
        </is>
      </c>
      <c r="N51" s="4" t="inlineStr">
        <is>
          <t>READY</t>
        </is>
      </c>
      <c r="O51" s="5" t="inlineStr"/>
      <c r="P51" s="5" t="inlineStr"/>
      <c r="Q51" s="5" t="inlineStr"/>
      <c r="R51" s="5" t="inlineStr"/>
    </row>
    <row r="52" ht="20" customHeight="1">
      <c r="A52" s="2" t="inlineStr">
        <is>
          <t>ST051</t>
        </is>
      </c>
      <c r="B52" s="3" t="inlineStr">
        <is>
          <t>What Does a 100 Percentile in JEE Main Represent?</t>
        </is>
      </c>
      <c r="C52" s="2" t="inlineStr">
        <is>
          <t>JEE</t>
        </is>
      </c>
      <c r="D52" s="3" t="inlineStr">
        <is>
          <t>Percentile</t>
        </is>
      </c>
      <c r="E52" s="2" t="inlineStr">
        <is>
          <t>Explanation</t>
        </is>
      </c>
      <c r="F52" s="2" t="inlineStr">
        <is>
          <t>Informational</t>
        </is>
      </c>
      <c r="G52" s="3" t="inlineStr">
        <is>
          <t>100 percentile in jee main meaning</t>
        </is>
      </c>
      <c r="H52" s="3" t="inlineStr">
        <is>
          <t>air 1 jee main percentile, how many get 100 percentile, highest marks in jee</t>
        </is>
      </c>
      <c r="I52" s="3" t="inlineStr">
        <is>
          <t>JEE Main Marks to Percentile</t>
        </is>
      </c>
      <c r="J52" s="3" t="inlineStr">
        <is>
          <t>/jee/marks-to-percentile</t>
        </is>
      </c>
      <c r="K52" s="3" t="inlineStr">
        <is>
          <t>Explain that 100 percentile represents the session topper who scored higher than or equal to 100% of candidates in that specific shift.</t>
        </is>
      </c>
      <c r="L52" s="2" t="inlineStr">
        <is>
          <t>YES</t>
        </is>
      </c>
      <c r="M52" s="2" t="inlineStr">
        <is>
          <t>HIGH</t>
        </is>
      </c>
      <c r="N52" s="2" t="inlineStr">
        <is>
          <t>READY</t>
        </is>
      </c>
      <c r="O52" s="3" t="inlineStr"/>
      <c r="P52" s="3" t="inlineStr"/>
      <c r="Q52" s="3" t="inlineStr"/>
      <c r="R52" s="3" t="inlineStr"/>
    </row>
    <row r="53" ht="20" customHeight="1">
      <c r="A53" s="4" t="inlineStr">
        <is>
          <t>ST052</t>
        </is>
      </c>
      <c r="B53" s="5" t="inlineStr">
        <is>
          <t>How to Estimate Percentile from Expected Marks Before Official Results</t>
        </is>
      </c>
      <c r="C53" s="4" t="inlineStr">
        <is>
          <t>JEE</t>
        </is>
      </c>
      <c r="D53" s="5" t="inlineStr">
        <is>
          <t>Percentile</t>
        </is>
      </c>
      <c r="E53" s="4" t="inlineStr">
        <is>
          <t>How-To</t>
        </is>
      </c>
      <c r="F53" s="4" t="inlineStr">
        <is>
          <t>Planning</t>
        </is>
      </c>
      <c r="G53" s="5" t="inlineStr">
        <is>
          <t>how to estimate jee percentile before result</t>
        </is>
      </c>
      <c r="H53" s="5" t="inlineStr">
        <is>
          <t>predicting jee percentile from marks, unofficial answer key percentile, student tools percentile estimator</t>
        </is>
      </c>
      <c r="I53" s="5" t="inlineStr">
        <is>
          <t>JEE Main Marks to Percentile</t>
        </is>
      </c>
      <c r="J53" s="5" t="inlineStr">
        <is>
          <t>/jee/marks-to-percentile</t>
        </is>
      </c>
      <c r="K53" s="5" t="inlineStr">
        <is>
          <t>Walk through estimating percentile bands using StudentTools Marks to Percentile Estimator based on student feedback on shift difficulty.</t>
        </is>
      </c>
      <c r="L53" s="4" t="inlineStr">
        <is>
          <t>YES</t>
        </is>
      </c>
      <c r="M53" s="4" t="inlineStr">
        <is>
          <t>HIGH</t>
        </is>
      </c>
      <c r="N53" s="4" t="inlineStr">
        <is>
          <t>READY</t>
        </is>
      </c>
      <c r="O53" s="5" t="inlineStr"/>
      <c r="P53" s="5" t="inlineStr"/>
      <c r="Q53" s="5" t="inlineStr"/>
      <c r="R53" s="5" t="inlineStr"/>
    </row>
    <row r="54" ht="20" customHeight="1">
      <c r="A54" s="2" t="inlineStr">
        <is>
          <t>ST053</t>
        </is>
      </c>
      <c r="B54" s="3" t="inlineStr">
        <is>
          <t>Why 90 Percentile Does Not Mean You Scored 90% of Total Marks</t>
        </is>
      </c>
      <c r="C54" s="2" t="inlineStr">
        <is>
          <t>JEE</t>
        </is>
      </c>
      <c r="D54" s="3" t="inlineStr">
        <is>
          <t>Percentile</t>
        </is>
      </c>
      <c r="E54" s="2" t="inlineStr">
        <is>
          <t>Explanation</t>
        </is>
      </c>
      <c r="F54" s="2" t="inlineStr">
        <is>
          <t>Educational</t>
        </is>
      </c>
      <c r="G54" s="3" t="inlineStr">
        <is>
          <t>difference between scoring 90 percent and 90 percentile</t>
        </is>
      </c>
      <c r="H54" s="3" t="inlineStr">
        <is>
          <t>percentile misconception jee, 90 percentile marks in jee, relative grading jee</t>
        </is>
      </c>
      <c r="I54" s="3" t="inlineStr">
        <is>
          <t>JEE Main Marks to Percentile</t>
        </is>
      </c>
      <c r="J54" s="3" t="inlineStr">
        <is>
          <t>/jee/marks-to-percentile</t>
        </is>
      </c>
      <c r="K54" s="3" t="inlineStr">
        <is>
          <t>Deconstruct the widespread student and parent myth that 90 percentile requires 270/300 marks; show it often requires only 100-115 marks.</t>
        </is>
      </c>
      <c r="L54" s="2" t="inlineStr">
        <is>
          <t>YES</t>
        </is>
      </c>
      <c r="M54" s="2" t="inlineStr">
        <is>
          <t>HIGH</t>
        </is>
      </c>
      <c r="N54" s="2" t="inlineStr">
        <is>
          <t>READY</t>
        </is>
      </c>
      <c r="O54" s="3" t="inlineStr"/>
      <c r="P54" s="3" t="inlineStr"/>
      <c r="Q54" s="3" t="inlineStr"/>
      <c r="R54" s="3" t="inlineStr"/>
    </row>
    <row r="55" ht="20" customHeight="1">
      <c r="A55" s="4" t="inlineStr">
        <is>
          <t>ST054</t>
        </is>
      </c>
      <c r="B55" s="5" t="inlineStr">
        <is>
          <t>Understanding Session-Wise Percentile Cutoffs for JEE Advanced Eligibility</t>
        </is>
      </c>
      <c r="C55" s="4" t="inlineStr">
        <is>
          <t>JEE</t>
        </is>
      </c>
      <c r="D55" s="5" t="inlineStr">
        <is>
          <t>Percentile</t>
        </is>
      </c>
      <c r="E55" s="4" t="inlineStr">
        <is>
          <t>Guide</t>
        </is>
      </c>
      <c r="F55" s="4" t="inlineStr">
        <is>
          <t>Reference</t>
        </is>
      </c>
      <c r="G55" s="5" t="inlineStr">
        <is>
          <t>qualifying percentile for jee advanced</t>
        </is>
      </c>
      <c r="H55" s="5" t="inlineStr">
        <is>
          <t>expected cutoff percentile jee advanced, category cutoffs jee advanced, qualifying score nta</t>
        </is>
      </c>
      <c r="I55" s="5" t="inlineStr">
        <is>
          <t>JEE Main Marks to Percentile</t>
        </is>
      </c>
      <c r="J55" s="5" t="inlineStr">
        <is>
          <t>/jee/marks-to-percentile</t>
        </is>
      </c>
      <c r="K55" s="5" t="inlineStr">
        <is>
          <t>Review the 2.5 lakh candidates qualification rule for JEE Advanced and how category quotas define qualifying percentile cutoffs.</t>
        </is>
      </c>
      <c r="L55" s="4" t="inlineStr">
        <is>
          <t>YES</t>
        </is>
      </c>
      <c r="M55" s="4" t="inlineStr">
        <is>
          <t>HIGH</t>
        </is>
      </c>
      <c r="N55" s="4" t="inlineStr">
        <is>
          <t>READY</t>
        </is>
      </c>
      <c r="O55" s="5" t="inlineStr"/>
      <c r="P55" s="5" t="inlineStr"/>
      <c r="Q55" s="5" t="inlineStr"/>
      <c r="R55" s="5" t="inlineStr"/>
    </row>
    <row r="56" ht="20" customHeight="1">
      <c r="A56" s="2" t="inlineStr">
        <is>
          <t>ST055</t>
        </is>
      </c>
      <c r="B56" s="3" t="inlineStr">
        <is>
          <t>How to Compare Your Session 1 and Session 2 Percentiles Effectively</t>
        </is>
      </c>
      <c r="C56" s="2" t="inlineStr">
        <is>
          <t>JEE</t>
        </is>
      </c>
      <c r="D56" s="3" t="inlineStr">
        <is>
          <t>Percentile</t>
        </is>
      </c>
      <c r="E56" s="2" t="inlineStr">
        <is>
          <t>Guide</t>
        </is>
      </c>
      <c r="F56" s="2" t="inlineStr">
        <is>
          <t>How-To</t>
        </is>
      </c>
      <c r="G56" s="3" t="inlineStr">
        <is>
          <t>how to compare session 1 and session 2 marks</t>
        </is>
      </c>
      <c r="H56" s="3" t="inlineStr">
        <is>
          <t>tracking jee improvement, did my score improve session 2, comparing normalized scores</t>
        </is>
      </c>
      <c r="I56" s="3" t="inlineStr">
        <is>
          <t>JEE Main Marks to Percentile</t>
        </is>
      </c>
      <c r="J56" s="3" t="inlineStr">
        <is>
          <t>/jee/marks-to-percentile</t>
        </is>
      </c>
      <c r="K56" s="3" t="inlineStr">
        <is>
          <t>Guide to evaluating real academic progress between sessions by looking past raw marks and focusing on percentile shift and subject accuracy.</t>
        </is>
      </c>
      <c r="L56" s="2" t="inlineStr">
        <is>
          <t>YES</t>
        </is>
      </c>
      <c r="M56" s="2" t="inlineStr">
        <is>
          <t>MEDIUM</t>
        </is>
      </c>
      <c r="N56" s="2" t="inlineStr">
        <is>
          <t>READY</t>
        </is>
      </c>
      <c r="O56" s="3" t="inlineStr"/>
      <c r="P56" s="3" t="inlineStr"/>
      <c r="Q56" s="3" t="inlineStr"/>
      <c r="R56" s="3" t="inlineStr"/>
    </row>
    <row r="57" ht="20" customHeight="1">
      <c r="A57" s="4" t="inlineStr">
        <is>
          <t>ST056</t>
        </is>
      </c>
      <c r="B57" s="5" t="inlineStr">
        <is>
          <t>Can JEE Main Percentile Be Zero?</t>
        </is>
      </c>
      <c r="C57" s="4" t="inlineStr">
        <is>
          <t>JEE</t>
        </is>
      </c>
      <c r="D57" s="5" t="inlineStr">
        <is>
          <t>Percentile</t>
        </is>
      </c>
      <c r="E57" s="4" t="inlineStr">
        <is>
          <t>Explanation</t>
        </is>
      </c>
      <c r="F57" s="4" t="inlineStr">
        <is>
          <t>Educational</t>
        </is>
      </c>
      <c r="G57" s="5" t="inlineStr">
        <is>
          <t>can jee percentile be zero</t>
        </is>
      </c>
      <c r="H57" s="5" t="inlineStr">
        <is>
          <t>lowest possible percentile jee, minimum percentile nta, percentile bounds</t>
        </is>
      </c>
      <c r="I57" s="5" t="inlineStr">
        <is>
          <t>JEE Main Marks to Percentile</t>
        </is>
      </c>
      <c r="J57" s="5" t="inlineStr">
        <is>
          <t>/jee/marks-to-percentile</t>
        </is>
      </c>
      <c r="K57" s="5" t="inlineStr">
        <is>
          <t>Demonstrate mathematically why percentile is strictly greater than 0 and up to 100, explaining boundary values in NTA formula.</t>
        </is>
      </c>
      <c r="L57" s="4" t="inlineStr">
        <is>
          <t>YES</t>
        </is>
      </c>
      <c r="M57" s="4" t="inlineStr">
        <is>
          <t>LOW</t>
        </is>
      </c>
      <c r="N57" s="4" t="inlineStr">
        <is>
          <t>READY</t>
        </is>
      </c>
      <c r="O57" s="5" t="inlineStr"/>
      <c r="P57" s="5" t="inlineStr"/>
      <c r="Q57" s="5" t="inlineStr"/>
      <c r="R57" s="5" t="inlineStr"/>
    </row>
    <row r="58" ht="20" customHeight="1">
      <c r="A58" s="2" t="inlineStr">
        <is>
          <t>ST057</t>
        </is>
      </c>
      <c r="B58" s="3" t="inlineStr">
        <is>
          <t>Statistical Normalization vs Scaling: How Does JEE Main Differ from Other Exams?</t>
        </is>
      </c>
      <c r="C58" s="2" t="inlineStr">
        <is>
          <t>JEE</t>
        </is>
      </c>
      <c r="D58" s="3" t="inlineStr">
        <is>
          <t>Percentile</t>
        </is>
      </c>
      <c r="E58" s="2" t="inlineStr">
        <is>
          <t>Comparison</t>
        </is>
      </c>
      <c r="F58" s="2" t="inlineStr">
        <is>
          <t>Educational</t>
        </is>
      </c>
      <c r="G58" s="3" t="inlineStr">
        <is>
          <t>jee normalization vs gate normalization</t>
        </is>
      </c>
      <c r="H58" s="3" t="inlineStr">
        <is>
          <t>how other exams normalize scores, percentile method vs mean standard deviation, competitive exam normalization</t>
        </is>
      </c>
      <c r="I58" s="3" t="inlineStr">
        <is>
          <t>JEE Main Marks to Percentile</t>
        </is>
      </c>
      <c r="J58" s="3" t="inlineStr">
        <is>
          <t>/jee/marks-to-percentile</t>
        </is>
      </c>
      <c r="K58" s="3" t="inlineStr">
        <is>
          <t>Compare NTA's pure percentile ranking approach with GATE/CAT mean-and-standard-deviation scaling formulas.</t>
        </is>
      </c>
      <c r="L58" s="2" t="inlineStr">
        <is>
          <t>YES</t>
        </is>
      </c>
      <c r="M58" s="2" t="inlineStr">
        <is>
          <t>MEDIUM</t>
        </is>
      </c>
      <c r="N58" s="2" t="inlineStr">
        <is>
          <t>READY</t>
        </is>
      </c>
      <c r="O58" s="3" t="inlineStr"/>
      <c r="P58" s="3" t="inlineStr"/>
      <c r="Q58" s="3" t="inlineStr"/>
      <c r="R58" s="3" t="inlineStr"/>
    </row>
    <row r="59" ht="20" customHeight="1">
      <c r="A59" s="4" t="inlineStr">
        <is>
          <t>ST058</t>
        </is>
      </c>
      <c r="B59" s="5" t="inlineStr">
        <is>
          <t>How Shift Attendance Disparities Impact Percentile Calculations</t>
        </is>
      </c>
      <c r="C59" s="4" t="inlineStr">
        <is>
          <t>JEE</t>
        </is>
      </c>
      <c r="D59" s="5" t="inlineStr">
        <is>
          <t>Percentile</t>
        </is>
      </c>
      <c r="E59" s="4" t="inlineStr">
        <is>
          <t>Explanation</t>
        </is>
      </c>
      <c r="F59" s="4" t="inlineStr">
        <is>
          <t>Educational</t>
        </is>
      </c>
      <c r="G59" s="5" t="inlineStr">
        <is>
          <t>how attendance per shift affects jee percentile</t>
        </is>
      </c>
      <c r="H59" s="5" t="inlineStr">
        <is>
          <t>shift size jee main, candidate distribution across shifts, nta shift balancing</t>
        </is>
      </c>
      <c r="I59" s="5" t="inlineStr">
        <is>
          <t>JEE Main Marks to Percentile</t>
        </is>
      </c>
      <c r="J59" s="5" t="inlineStr">
        <is>
          <t>/jee/marks-to-percentile</t>
        </is>
      </c>
      <c r="K59" s="5" t="inlineStr">
        <is>
          <t>Examine how NTA distributes candidates across exam slots randomly to maintain equal statistical variance and demographic fairness across shifts.</t>
        </is>
      </c>
      <c r="L59" s="4" t="inlineStr">
        <is>
          <t>YES</t>
        </is>
      </c>
      <c r="M59" s="4" t="inlineStr">
        <is>
          <t>MEDIUM</t>
        </is>
      </c>
      <c r="N59" s="4" t="inlineStr">
        <is>
          <t>READY</t>
        </is>
      </c>
      <c r="O59" s="5" t="inlineStr"/>
      <c r="P59" s="5" t="inlineStr"/>
      <c r="Q59" s="5" t="inlineStr"/>
      <c r="R59" s="5" t="inlineStr"/>
    </row>
    <row r="60" ht="20" customHeight="1">
      <c r="A60" s="2" t="inlineStr">
        <is>
          <t>ST059</t>
        </is>
      </c>
      <c r="B60" s="3" t="inlineStr">
        <is>
          <t>Why Multiple Sessions Reduce Luck and Shift Bias in JEE Main</t>
        </is>
      </c>
      <c r="C60" s="2" t="inlineStr">
        <is>
          <t>JEE</t>
        </is>
      </c>
      <c r="D60" s="3" t="inlineStr">
        <is>
          <t>Percentile</t>
        </is>
      </c>
      <c r="E60" s="2" t="inlineStr">
        <is>
          <t>Explanation</t>
        </is>
      </c>
      <c r="F60" s="2" t="inlineStr">
        <is>
          <t>Informational</t>
        </is>
      </c>
      <c r="G60" s="3" t="inlineStr">
        <is>
          <t>why two sessions are conducted in jee main</t>
        </is>
      </c>
      <c r="H60" s="3" t="inlineStr">
        <is>
          <t>benefits of two attempts jee, reducing bad day effect, fair normalization across multiple sessions</t>
        </is>
      </c>
      <c r="I60" s="3" t="inlineStr">
        <is>
          <t>JEE Main Marks to Percentile</t>
        </is>
      </c>
      <c r="J60" s="3" t="inlineStr">
        <is>
          <t>/jee/marks-to-percentile</t>
        </is>
      </c>
      <c r="K60" s="3" t="inlineStr">
        <is>
          <t>Explain the educational rationale for providing two attempts: smoothing health or travel emergencies and providing fair normalization.</t>
        </is>
      </c>
      <c r="L60" s="2" t="inlineStr">
        <is>
          <t>YES</t>
        </is>
      </c>
      <c r="M60" s="2" t="inlineStr">
        <is>
          <t>LOW</t>
        </is>
      </c>
      <c r="N60" s="2" t="inlineStr">
        <is>
          <t>READY</t>
        </is>
      </c>
      <c r="O60" s="3" t="inlineStr"/>
      <c r="P60" s="3" t="inlineStr"/>
      <c r="Q60" s="3" t="inlineStr"/>
      <c r="R60" s="3" t="inlineStr"/>
    </row>
    <row r="61" ht="20" customHeight="1">
      <c r="A61" s="4" t="inlineStr">
        <is>
          <t>ST060</t>
        </is>
      </c>
      <c r="B61" s="5" t="inlineStr">
        <is>
          <t>How Coaching Institutes Predict JEE Main Percentiles: Accuracy and Limitations</t>
        </is>
      </c>
      <c r="C61" s="4" t="inlineStr">
        <is>
          <t>JEE</t>
        </is>
      </c>
      <c r="D61" s="5" t="inlineStr">
        <is>
          <t>Percentile</t>
        </is>
      </c>
      <c r="E61" s="4" t="inlineStr">
        <is>
          <t>Guide</t>
        </is>
      </c>
      <c r="F61" s="4" t="inlineStr">
        <is>
          <t>Informational</t>
        </is>
      </c>
      <c r="G61" s="5" t="inlineStr">
        <is>
          <t>how accurate are coaching percentile predictors</t>
        </is>
      </c>
      <c r="H61" s="5" t="inlineStr">
        <is>
          <t>marks vs percentile prediction accuracy, sample bias in coaching predictors, estimating percentile realistically</t>
        </is>
      </c>
      <c r="I61" s="5" t="inlineStr">
        <is>
          <t>JEE Main Marks to Percentile</t>
        </is>
      </c>
      <c r="J61" s="5" t="inlineStr">
        <is>
          <t>/jee/marks-to-percentile</t>
        </is>
      </c>
      <c r="K61" s="5" t="inlineStr">
        <is>
          <t>Evaluate why unofficial sample polls have high-score selection bias and how statistical modeling produces realistic ranges.</t>
        </is>
      </c>
      <c r="L61" s="4" t="inlineStr">
        <is>
          <t>YES</t>
        </is>
      </c>
      <c r="M61" s="4" t="inlineStr">
        <is>
          <t>MEDIUM</t>
        </is>
      </c>
      <c r="N61" s="4" t="inlineStr">
        <is>
          <t>READY</t>
        </is>
      </c>
      <c r="O61" s="5" t="inlineStr"/>
      <c r="P61" s="5" t="inlineStr"/>
      <c r="Q61" s="5" t="inlineStr"/>
      <c r="R61" s="5" t="inlineStr"/>
    </row>
    <row r="62" ht="20" customHeight="1">
      <c r="A62" s="2" t="inlineStr">
        <is>
          <t>ST061</t>
        </is>
      </c>
      <c r="B62" s="3" t="inlineStr">
        <is>
          <t>99.95 Percentile in JEE Main: Marks Needed, Rank, and Top NIT CSE Prospects</t>
        </is>
      </c>
      <c r="C62" s="2" t="inlineStr">
        <is>
          <t>JEE</t>
        </is>
      </c>
      <c r="D62" s="3" t="inlineStr">
        <is>
          <t>Percentile</t>
        </is>
      </c>
      <c r="E62" s="2" t="inlineStr">
        <is>
          <t>Explanation</t>
        </is>
      </c>
      <c r="F62" s="2" t="inlineStr">
        <is>
          <t>Educational</t>
        </is>
      </c>
      <c r="G62" s="3" t="inlineStr">
        <is>
          <t>99.95 percentile in jee main</t>
        </is>
      </c>
      <c r="H62" s="3" t="inlineStr">
        <is>
          <t>99.95 percentile jee rank, 99.95 percentile marks, colleges for 99.95 percentile</t>
        </is>
      </c>
      <c r="I62" s="3" t="inlineStr">
        <is>
          <t>JEE Main Marks to Percentile</t>
        </is>
      </c>
      <c r="J62" s="3" t="inlineStr">
        <is>
          <t>/jee/marks-to-percentile</t>
        </is>
      </c>
      <c r="K62" s="3" t="inlineStr">
        <is>
          <t>Comprehensive breakdown of 99.95 percentile: estimated All India Rank, required raw score across shifts, and college branches across NITs, IIITs, and GFTIs.</t>
        </is>
      </c>
      <c r="L62" s="2" t="inlineStr">
        <is>
          <t>YES</t>
        </is>
      </c>
      <c r="M62" s="2" t="inlineStr">
        <is>
          <t>HIGH</t>
        </is>
      </c>
      <c r="N62" s="2" t="inlineStr">
        <is>
          <t>READY</t>
        </is>
      </c>
      <c r="O62" s="3" t="inlineStr"/>
      <c r="P62" s="3" t="inlineStr"/>
      <c r="Q62" s="3" t="inlineStr"/>
      <c r="R62" s="3" t="inlineStr"/>
    </row>
    <row r="63" ht="20" customHeight="1">
      <c r="A63" s="4" t="inlineStr">
        <is>
          <t>ST062</t>
        </is>
      </c>
      <c r="B63" s="5" t="inlineStr">
        <is>
          <t>99.8 Percentile in JEE Main: Securing CSE in Top 3 NITs</t>
        </is>
      </c>
      <c r="C63" s="4" t="inlineStr">
        <is>
          <t>JEE</t>
        </is>
      </c>
      <c r="D63" s="5" t="inlineStr">
        <is>
          <t>Percentile</t>
        </is>
      </c>
      <c r="E63" s="4" t="inlineStr">
        <is>
          <t>Explanation</t>
        </is>
      </c>
      <c r="F63" s="4" t="inlineStr">
        <is>
          <t>Educational</t>
        </is>
      </c>
      <c r="G63" s="5" t="inlineStr">
        <is>
          <t>99.8 percentile in jee main</t>
        </is>
      </c>
      <c r="H63" s="5" t="inlineStr">
        <is>
          <t>99.8 percentile jee rank, 99.8 percentile marks, colleges for 99.8 percentile</t>
        </is>
      </c>
      <c r="I63" s="5" t="inlineStr">
        <is>
          <t>JEE Main Marks to Percentile</t>
        </is>
      </c>
      <c r="J63" s="5" t="inlineStr">
        <is>
          <t>/jee/marks-to-percentile</t>
        </is>
      </c>
      <c r="K63" s="5" t="inlineStr">
        <is>
          <t>Comprehensive breakdown of 99.8 percentile: estimated All India Rank, required raw score across shifts, and college branches across NITs, IIITs, and GFTIs.</t>
        </is>
      </c>
      <c r="L63" s="4" t="inlineStr">
        <is>
          <t>YES</t>
        </is>
      </c>
      <c r="M63" s="4" t="inlineStr">
        <is>
          <t>HIGH</t>
        </is>
      </c>
      <c r="N63" s="4" t="inlineStr">
        <is>
          <t>READY</t>
        </is>
      </c>
      <c r="O63" s="5" t="inlineStr"/>
      <c r="P63" s="5" t="inlineStr"/>
      <c r="Q63" s="5" t="inlineStr"/>
      <c r="R63" s="5" t="inlineStr"/>
    </row>
    <row r="64" ht="20" customHeight="1">
      <c r="A64" s="2" t="inlineStr">
        <is>
          <t>ST063</t>
        </is>
      </c>
      <c r="B64" s="3" t="inlineStr">
        <is>
          <t>99.5 Percentile in JEE Main: Estimated CRL Rank and College Admission Scope</t>
        </is>
      </c>
      <c r="C64" s="2" t="inlineStr">
        <is>
          <t>JEE</t>
        </is>
      </c>
      <c r="D64" s="3" t="inlineStr">
        <is>
          <t>Percentile</t>
        </is>
      </c>
      <c r="E64" s="2" t="inlineStr">
        <is>
          <t>Explanation</t>
        </is>
      </c>
      <c r="F64" s="2" t="inlineStr">
        <is>
          <t>Educational</t>
        </is>
      </c>
      <c r="G64" s="3" t="inlineStr">
        <is>
          <t>99.5 percentile in jee main</t>
        </is>
      </c>
      <c r="H64" s="3" t="inlineStr">
        <is>
          <t>99.5 percentile jee rank, 99.5 percentile marks, colleges for 99.5 percentile</t>
        </is>
      </c>
      <c r="I64" s="3" t="inlineStr">
        <is>
          <t>JEE Main Marks to Percentile</t>
        </is>
      </c>
      <c r="J64" s="3" t="inlineStr">
        <is>
          <t>/jee/marks-to-percentile</t>
        </is>
      </c>
      <c r="K64" s="3" t="inlineStr">
        <is>
          <t>Comprehensive breakdown of 99.5 percentile: estimated All India Rank, required raw score across shifts, and college branches across NITs, IIITs, and GFTIs.</t>
        </is>
      </c>
      <c r="L64" s="2" t="inlineStr">
        <is>
          <t>YES</t>
        </is>
      </c>
      <c r="M64" s="2" t="inlineStr">
        <is>
          <t>HIGH</t>
        </is>
      </c>
      <c r="N64" s="2" t="inlineStr">
        <is>
          <t>READY</t>
        </is>
      </c>
      <c r="O64" s="3" t="inlineStr"/>
      <c r="P64" s="3" t="inlineStr"/>
      <c r="Q64" s="3" t="inlineStr"/>
      <c r="R64" s="3" t="inlineStr"/>
    </row>
    <row r="65" ht="20" customHeight="1">
      <c r="A65" s="4" t="inlineStr">
        <is>
          <t>ST064</t>
        </is>
      </c>
      <c r="B65" s="5" t="inlineStr">
        <is>
          <t>99.2 Percentile in JEE Main: Top IIIT and NIT Branch Opportunities</t>
        </is>
      </c>
      <c r="C65" s="4" t="inlineStr">
        <is>
          <t>JEE</t>
        </is>
      </c>
      <c r="D65" s="5" t="inlineStr">
        <is>
          <t>Percentile</t>
        </is>
      </c>
      <c r="E65" s="4" t="inlineStr">
        <is>
          <t>Explanation</t>
        </is>
      </c>
      <c r="F65" s="4" t="inlineStr">
        <is>
          <t>Educational</t>
        </is>
      </c>
      <c r="G65" s="5" t="inlineStr">
        <is>
          <t>99.2 percentile in jee main</t>
        </is>
      </c>
      <c r="H65" s="5" t="inlineStr">
        <is>
          <t>99.2 percentile jee rank, 99.2 percentile marks, colleges for 99.2 percentile</t>
        </is>
      </c>
      <c r="I65" s="5" t="inlineStr">
        <is>
          <t>JEE Main Marks to Percentile</t>
        </is>
      </c>
      <c r="J65" s="5" t="inlineStr">
        <is>
          <t>/jee/marks-to-percentile</t>
        </is>
      </c>
      <c r="K65" s="5" t="inlineStr">
        <is>
          <t>Comprehensive breakdown of 99.2 percentile: estimated All India Rank, required raw score across shifts, and college branches across NITs, IIITs, and GFTIs.</t>
        </is>
      </c>
      <c r="L65" s="4" t="inlineStr">
        <is>
          <t>YES</t>
        </is>
      </c>
      <c r="M65" s="4" t="inlineStr">
        <is>
          <t>HIGH</t>
        </is>
      </c>
      <c r="N65" s="4" t="inlineStr">
        <is>
          <t>READY</t>
        </is>
      </c>
      <c r="O65" s="5" t="inlineStr"/>
      <c r="P65" s="5" t="inlineStr"/>
      <c r="Q65" s="5" t="inlineStr"/>
      <c r="R65" s="5" t="inlineStr"/>
    </row>
    <row r="66" ht="20" customHeight="1">
      <c r="A66" s="2" t="inlineStr">
        <is>
          <t>ST065</t>
        </is>
      </c>
      <c r="B66" s="3" t="inlineStr">
        <is>
          <t>99 Percentile in JEE Main: Rank Range, Safe Marks, and Premier NIT Cutoffs</t>
        </is>
      </c>
      <c r="C66" s="2" t="inlineStr">
        <is>
          <t>JEE</t>
        </is>
      </c>
      <c r="D66" s="3" t="inlineStr">
        <is>
          <t>Percentile</t>
        </is>
      </c>
      <c r="E66" s="2" t="inlineStr">
        <is>
          <t>Explanation</t>
        </is>
      </c>
      <c r="F66" s="2" t="inlineStr">
        <is>
          <t>Educational</t>
        </is>
      </c>
      <c r="G66" s="3" t="inlineStr">
        <is>
          <t>99 percentile in jee main</t>
        </is>
      </c>
      <c r="H66" s="3" t="inlineStr">
        <is>
          <t>99.0 percentile jee rank, 99.0 percentile marks, colleges for 99.0 percentile</t>
        </is>
      </c>
      <c r="I66" s="3" t="inlineStr">
        <is>
          <t>JEE Main Marks to Percentile</t>
        </is>
      </c>
      <c r="J66" s="3" t="inlineStr">
        <is>
          <t>/jee/marks-to-percentile</t>
        </is>
      </c>
      <c r="K66" s="3" t="inlineStr">
        <is>
          <t>Comprehensive breakdown of 99.0 percentile: estimated All India Rank, required raw score across shifts, and college branches across NITs, IIITs, and GFTIs.</t>
        </is>
      </c>
      <c r="L66" s="2" t="inlineStr">
        <is>
          <t>YES</t>
        </is>
      </c>
      <c r="M66" s="2" t="inlineStr">
        <is>
          <t>HIGH</t>
        </is>
      </c>
      <c r="N66" s="2" t="inlineStr">
        <is>
          <t>READY</t>
        </is>
      </c>
      <c r="O66" s="3" t="inlineStr"/>
      <c r="P66" s="3" t="inlineStr"/>
      <c r="Q66" s="3" t="inlineStr"/>
      <c r="R66" s="3" t="inlineStr"/>
    </row>
    <row r="67" ht="20" customHeight="1">
      <c r="A67" s="4" t="inlineStr">
        <is>
          <t>ST066</t>
        </is>
      </c>
      <c r="B67" s="5" t="inlineStr">
        <is>
          <t>98.8 Percentile in JEE Main: Safe Options for CSE and ECE in NITs</t>
        </is>
      </c>
      <c r="C67" s="4" t="inlineStr">
        <is>
          <t>JEE</t>
        </is>
      </c>
      <c r="D67" s="5" t="inlineStr">
        <is>
          <t>Percentile</t>
        </is>
      </c>
      <c r="E67" s="4" t="inlineStr">
        <is>
          <t>Explanation</t>
        </is>
      </c>
      <c r="F67" s="4" t="inlineStr">
        <is>
          <t>Educational</t>
        </is>
      </c>
      <c r="G67" s="5" t="inlineStr">
        <is>
          <t>98.8 percentile in jee main</t>
        </is>
      </c>
      <c r="H67" s="5" t="inlineStr">
        <is>
          <t>98.8 percentile jee rank, 98.8 percentile marks, colleges for 98.8 percentile</t>
        </is>
      </c>
      <c r="I67" s="5" t="inlineStr">
        <is>
          <t>JEE Main Marks to Percentile</t>
        </is>
      </c>
      <c r="J67" s="5" t="inlineStr">
        <is>
          <t>/jee/marks-to-percentile</t>
        </is>
      </c>
      <c r="K67" s="5" t="inlineStr">
        <is>
          <t>Comprehensive breakdown of 98.8 percentile: estimated All India Rank, required raw score across shifts, and college branches across NITs, IIITs, and GFTIs.</t>
        </is>
      </c>
      <c r="L67" s="4" t="inlineStr">
        <is>
          <t>YES</t>
        </is>
      </c>
      <c r="M67" s="4" t="inlineStr">
        <is>
          <t>HIGH</t>
        </is>
      </c>
      <c r="N67" s="4" t="inlineStr">
        <is>
          <t>READY</t>
        </is>
      </c>
      <c r="O67" s="5" t="inlineStr"/>
      <c r="P67" s="5" t="inlineStr"/>
      <c r="Q67" s="5" t="inlineStr"/>
      <c r="R67" s="5" t="inlineStr"/>
    </row>
    <row r="68" ht="20" customHeight="1">
      <c r="A68" s="2" t="inlineStr">
        <is>
          <t>ST067</t>
        </is>
      </c>
      <c r="B68" s="3" t="inlineStr">
        <is>
          <t>98.5 Percentile in JEE Main: Rank Estimates and Top IIIT/NIT Choices</t>
        </is>
      </c>
      <c r="C68" s="2" t="inlineStr">
        <is>
          <t>JEE</t>
        </is>
      </c>
      <c r="D68" s="3" t="inlineStr">
        <is>
          <t>Percentile</t>
        </is>
      </c>
      <c r="E68" s="2" t="inlineStr">
        <is>
          <t>Explanation</t>
        </is>
      </c>
      <c r="F68" s="2" t="inlineStr">
        <is>
          <t>Educational</t>
        </is>
      </c>
      <c r="G68" s="3" t="inlineStr">
        <is>
          <t>98.5 percentile in jee main</t>
        </is>
      </c>
      <c r="H68" s="3" t="inlineStr">
        <is>
          <t>98.5 percentile jee rank, 98.5 percentile marks, colleges for 98.5 percentile</t>
        </is>
      </c>
      <c r="I68" s="3" t="inlineStr">
        <is>
          <t>JEE Main Marks to Percentile</t>
        </is>
      </c>
      <c r="J68" s="3" t="inlineStr">
        <is>
          <t>/jee/marks-to-percentile</t>
        </is>
      </c>
      <c r="K68" s="3" t="inlineStr">
        <is>
          <t>Comprehensive breakdown of 98.5 percentile: estimated All India Rank, required raw score across shifts, and college branches across NITs, IIITs, and GFTIs.</t>
        </is>
      </c>
      <c r="L68" s="2" t="inlineStr">
        <is>
          <t>YES</t>
        </is>
      </c>
      <c r="M68" s="2" t="inlineStr">
        <is>
          <t>HIGH</t>
        </is>
      </c>
      <c r="N68" s="2" t="inlineStr">
        <is>
          <t>READY</t>
        </is>
      </c>
      <c r="O68" s="3" t="inlineStr"/>
      <c r="P68" s="3" t="inlineStr"/>
      <c r="Q68" s="3" t="inlineStr"/>
      <c r="R68" s="3" t="inlineStr"/>
    </row>
    <row r="69" ht="20" customHeight="1">
      <c r="A69" s="4" t="inlineStr">
        <is>
          <t>ST068</t>
        </is>
      </c>
      <c r="B69" s="5" t="inlineStr">
        <is>
          <t>98.2 Percentile in JEE Main: Cutoffs for Premier State and Central Institutes</t>
        </is>
      </c>
      <c r="C69" s="4" t="inlineStr">
        <is>
          <t>JEE</t>
        </is>
      </c>
      <c r="D69" s="5" t="inlineStr">
        <is>
          <t>Percentile</t>
        </is>
      </c>
      <c r="E69" s="4" t="inlineStr">
        <is>
          <t>Explanation</t>
        </is>
      </c>
      <c r="F69" s="4" t="inlineStr">
        <is>
          <t>Educational</t>
        </is>
      </c>
      <c r="G69" s="5" t="inlineStr">
        <is>
          <t>98.2 percentile in jee main</t>
        </is>
      </c>
      <c r="H69" s="5" t="inlineStr">
        <is>
          <t>98.2 percentile jee rank, 98.2 percentile marks, colleges for 98.2 percentile</t>
        </is>
      </c>
      <c r="I69" s="5" t="inlineStr">
        <is>
          <t>JEE Main Marks to Percentile</t>
        </is>
      </c>
      <c r="J69" s="5" t="inlineStr">
        <is>
          <t>/jee/marks-to-percentile</t>
        </is>
      </c>
      <c r="K69" s="5" t="inlineStr">
        <is>
          <t>Comprehensive breakdown of 98.2 percentile: estimated All India Rank, required raw score across shifts, and college branches across NITs, IIITs, and GFTIs.</t>
        </is>
      </c>
      <c r="L69" s="4" t="inlineStr">
        <is>
          <t>YES</t>
        </is>
      </c>
      <c r="M69" s="4" t="inlineStr">
        <is>
          <t>HIGH</t>
        </is>
      </c>
      <c r="N69" s="4" t="inlineStr">
        <is>
          <t>READY</t>
        </is>
      </c>
      <c r="O69" s="5" t="inlineStr"/>
      <c r="P69" s="5" t="inlineStr"/>
      <c r="Q69" s="5" t="inlineStr"/>
      <c r="R69" s="5" t="inlineStr"/>
    </row>
    <row r="70" ht="20" customHeight="1">
      <c r="A70" s="2" t="inlineStr">
        <is>
          <t>ST069</t>
        </is>
      </c>
      <c r="B70" s="3" t="inlineStr">
        <is>
          <t>98 Percentile in JEE Main: Expected Rank and Eligible Engineering Colleges</t>
        </is>
      </c>
      <c r="C70" s="2" t="inlineStr">
        <is>
          <t>JEE</t>
        </is>
      </c>
      <c r="D70" s="3" t="inlineStr">
        <is>
          <t>Percentile</t>
        </is>
      </c>
      <c r="E70" s="2" t="inlineStr">
        <is>
          <t>Explanation</t>
        </is>
      </c>
      <c r="F70" s="2" t="inlineStr">
        <is>
          <t>Educational</t>
        </is>
      </c>
      <c r="G70" s="3" t="inlineStr">
        <is>
          <t>98 percentile in jee main</t>
        </is>
      </c>
      <c r="H70" s="3" t="inlineStr">
        <is>
          <t>98.0 percentile jee rank, 98.0 percentile marks, colleges for 98.0 percentile</t>
        </is>
      </c>
      <c r="I70" s="3" t="inlineStr">
        <is>
          <t>JEE Main Marks to Percentile</t>
        </is>
      </c>
      <c r="J70" s="3" t="inlineStr">
        <is>
          <t>/jee/marks-to-percentile</t>
        </is>
      </c>
      <c r="K70" s="3" t="inlineStr">
        <is>
          <t>Comprehensive breakdown of 98.0 percentile: estimated All India Rank, required raw score across shifts, and college branches across NITs, IIITs, and GFTIs.</t>
        </is>
      </c>
      <c r="L70" s="2" t="inlineStr">
        <is>
          <t>YES</t>
        </is>
      </c>
      <c r="M70" s="2" t="inlineStr">
        <is>
          <t>HIGH</t>
        </is>
      </c>
      <c r="N70" s="2" t="inlineStr">
        <is>
          <t>READY</t>
        </is>
      </c>
      <c r="O70" s="3" t="inlineStr"/>
      <c r="P70" s="3" t="inlineStr"/>
      <c r="Q70" s="3" t="inlineStr"/>
      <c r="R70" s="3" t="inlineStr"/>
    </row>
    <row r="71" ht="20" customHeight="1">
      <c r="A71" s="4" t="inlineStr">
        <is>
          <t>ST070</t>
        </is>
      </c>
      <c r="B71" s="5" t="inlineStr">
        <is>
          <t>97.5 Percentile in JEE Main: Core vs Tech Branches in Top 10 NITs</t>
        </is>
      </c>
      <c r="C71" s="4" t="inlineStr">
        <is>
          <t>JEE</t>
        </is>
      </c>
      <c r="D71" s="5" t="inlineStr">
        <is>
          <t>Percentile</t>
        </is>
      </c>
      <c r="E71" s="4" t="inlineStr">
        <is>
          <t>Explanation</t>
        </is>
      </c>
      <c r="F71" s="4" t="inlineStr">
        <is>
          <t>Educational</t>
        </is>
      </c>
      <c r="G71" s="5" t="inlineStr">
        <is>
          <t>97.5 percentile in jee main</t>
        </is>
      </c>
      <c r="H71" s="5" t="inlineStr">
        <is>
          <t>97.5 percentile jee rank, 97.5 percentile marks, colleges for 97.5 percentile</t>
        </is>
      </c>
      <c r="I71" s="5" t="inlineStr">
        <is>
          <t>JEE Main Marks to Percentile</t>
        </is>
      </c>
      <c r="J71" s="5" t="inlineStr">
        <is>
          <t>/jee/marks-to-percentile</t>
        </is>
      </c>
      <c r="K71" s="5" t="inlineStr">
        <is>
          <t>Comprehensive breakdown of 97.5 percentile: estimated All India Rank, required raw score across shifts, and college branches across NITs, IIITs, and GFTIs.</t>
        </is>
      </c>
      <c r="L71" s="4" t="inlineStr">
        <is>
          <t>YES</t>
        </is>
      </c>
      <c r="M71" s="4" t="inlineStr">
        <is>
          <t>HIGH</t>
        </is>
      </c>
      <c r="N71" s="4" t="inlineStr">
        <is>
          <t>READY</t>
        </is>
      </c>
      <c r="O71" s="5" t="inlineStr"/>
      <c r="P71" s="5" t="inlineStr"/>
      <c r="Q71" s="5" t="inlineStr"/>
      <c r="R71" s="5" t="inlineStr"/>
    </row>
    <row r="72" ht="20" customHeight="1">
      <c r="A72" s="2" t="inlineStr">
        <is>
          <t>ST071</t>
        </is>
      </c>
      <c r="B72" s="3" t="inlineStr">
        <is>
          <t>97 Percentile in JEE Main: Branch Opportunities in Top 15 NITs</t>
        </is>
      </c>
      <c r="C72" s="2" t="inlineStr">
        <is>
          <t>JEE</t>
        </is>
      </c>
      <c r="D72" s="3" t="inlineStr">
        <is>
          <t>Percentile</t>
        </is>
      </c>
      <c r="E72" s="2" t="inlineStr">
        <is>
          <t>Explanation</t>
        </is>
      </c>
      <c r="F72" s="2" t="inlineStr">
        <is>
          <t>Educational</t>
        </is>
      </c>
      <c r="G72" s="3" t="inlineStr">
        <is>
          <t>97 percentile in jee main</t>
        </is>
      </c>
      <c r="H72" s="3" t="inlineStr">
        <is>
          <t>97.0 percentile jee rank, 97.0 percentile marks, colleges for 97.0 percentile</t>
        </is>
      </c>
      <c r="I72" s="3" t="inlineStr">
        <is>
          <t>JEE Main Marks to Percentile</t>
        </is>
      </c>
      <c r="J72" s="3" t="inlineStr">
        <is>
          <t>/jee/marks-to-percentile</t>
        </is>
      </c>
      <c r="K72" s="3" t="inlineStr">
        <is>
          <t>Comprehensive breakdown of 97.0 percentile: estimated All India Rank, required raw score across shifts, and college branches across NITs, IIITs, and GFTIs.</t>
        </is>
      </c>
      <c r="L72" s="2" t="inlineStr">
        <is>
          <t>YES</t>
        </is>
      </c>
      <c r="M72" s="2" t="inlineStr">
        <is>
          <t>HIGH</t>
        </is>
      </c>
      <c r="N72" s="2" t="inlineStr">
        <is>
          <t>READY</t>
        </is>
      </c>
      <c r="O72" s="3" t="inlineStr"/>
      <c r="P72" s="3" t="inlineStr"/>
      <c r="Q72" s="3" t="inlineStr"/>
      <c r="R72" s="3" t="inlineStr"/>
    </row>
    <row r="73" ht="20" customHeight="1">
      <c r="A73" s="4" t="inlineStr">
        <is>
          <t>ST072</t>
        </is>
      </c>
      <c r="B73" s="5" t="inlineStr">
        <is>
          <t>96.5 Percentile in JEE Main: Good NIT Branches and Established IIITs</t>
        </is>
      </c>
      <c r="C73" s="4" t="inlineStr">
        <is>
          <t>JEE</t>
        </is>
      </c>
      <c r="D73" s="5" t="inlineStr">
        <is>
          <t>Percentile</t>
        </is>
      </c>
      <c r="E73" s="4" t="inlineStr">
        <is>
          <t>Explanation</t>
        </is>
      </c>
      <c r="F73" s="4" t="inlineStr">
        <is>
          <t>Educational</t>
        </is>
      </c>
      <c r="G73" s="5" t="inlineStr">
        <is>
          <t>96.5 percentile in jee main</t>
        </is>
      </c>
      <c r="H73" s="5" t="inlineStr">
        <is>
          <t>96.5 percentile jee rank, 96.5 percentile marks, colleges for 96.5 percentile</t>
        </is>
      </c>
      <c r="I73" s="5" t="inlineStr">
        <is>
          <t>JEE Main Marks to Percentile</t>
        </is>
      </c>
      <c r="J73" s="5" t="inlineStr">
        <is>
          <t>/jee/marks-to-percentile</t>
        </is>
      </c>
      <c r="K73" s="5" t="inlineStr">
        <is>
          <t>Comprehensive breakdown of 96.5 percentile: estimated All India Rank, required raw score across shifts, and college branches across NITs, IIITs, and GFTIs.</t>
        </is>
      </c>
      <c r="L73" s="4" t="inlineStr">
        <is>
          <t>YES</t>
        </is>
      </c>
      <c r="M73" s="4" t="inlineStr">
        <is>
          <t>HIGH</t>
        </is>
      </c>
      <c r="N73" s="4" t="inlineStr">
        <is>
          <t>READY</t>
        </is>
      </c>
      <c r="O73" s="5" t="inlineStr"/>
      <c r="P73" s="5" t="inlineStr"/>
      <c r="Q73" s="5" t="inlineStr"/>
      <c r="R73" s="5" t="inlineStr"/>
    </row>
    <row r="74" ht="20" customHeight="1">
      <c r="A74" s="2" t="inlineStr">
        <is>
          <t>ST073</t>
        </is>
      </c>
      <c r="B74" s="3" t="inlineStr">
        <is>
          <t>96 Percentile in JEE Main: What Rank and Which NITs Can You Get?</t>
        </is>
      </c>
      <c r="C74" s="2" t="inlineStr">
        <is>
          <t>JEE</t>
        </is>
      </c>
      <c r="D74" s="3" t="inlineStr">
        <is>
          <t>Percentile</t>
        </is>
      </c>
      <c r="E74" s="2" t="inlineStr">
        <is>
          <t>Explanation</t>
        </is>
      </c>
      <c r="F74" s="2" t="inlineStr">
        <is>
          <t>Educational</t>
        </is>
      </c>
      <c r="G74" s="3" t="inlineStr">
        <is>
          <t>96 percentile in jee main</t>
        </is>
      </c>
      <c r="H74" s="3" t="inlineStr">
        <is>
          <t>96.0 percentile jee rank, 96.0 percentile marks, colleges for 96.0 percentile</t>
        </is>
      </c>
      <c r="I74" s="3" t="inlineStr">
        <is>
          <t>JEE Main Marks to Percentile</t>
        </is>
      </c>
      <c r="J74" s="3" t="inlineStr">
        <is>
          <t>/jee/marks-to-percentile</t>
        </is>
      </c>
      <c r="K74" s="3" t="inlineStr">
        <is>
          <t>Comprehensive breakdown of 96.0 percentile: estimated All India Rank, required raw score across shifts, and college branches across NITs, IIITs, and GFTIs.</t>
        </is>
      </c>
      <c r="L74" s="2" t="inlineStr">
        <is>
          <t>YES</t>
        </is>
      </c>
      <c r="M74" s="2" t="inlineStr">
        <is>
          <t>HIGH</t>
        </is>
      </c>
      <c r="N74" s="2" t="inlineStr">
        <is>
          <t>READY</t>
        </is>
      </c>
      <c r="O74" s="3" t="inlineStr"/>
      <c r="P74" s="3" t="inlineStr"/>
      <c r="Q74" s="3" t="inlineStr"/>
      <c r="R74" s="3" t="inlineStr"/>
    </row>
    <row r="75" ht="20" customHeight="1">
      <c r="A75" s="4" t="inlineStr">
        <is>
          <t>ST074</t>
        </is>
      </c>
      <c r="B75" s="5" t="inlineStr">
        <is>
          <t>95.5 Percentile in JEE Main: Expected Rank and Safe Engineering Branches</t>
        </is>
      </c>
      <c r="C75" s="4" t="inlineStr">
        <is>
          <t>JEE</t>
        </is>
      </c>
      <c r="D75" s="5" t="inlineStr">
        <is>
          <t>Percentile</t>
        </is>
      </c>
      <c r="E75" s="4" t="inlineStr">
        <is>
          <t>Explanation</t>
        </is>
      </c>
      <c r="F75" s="4" t="inlineStr">
        <is>
          <t>Educational</t>
        </is>
      </c>
      <c r="G75" s="5" t="inlineStr">
        <is>
          <t>95.5 percentile in jee main</t>
        </is>
      </c>
      <c r="H75" s="5" t="inlineStr">
        <is>
          <t>95.5 percentile jee rank, 95.5 percentile marks, colleges for 95.5 percentile</t>
        </is>
      </c>
      <c r="I75" s="5" t="inlineStr">
        <is>
          <t>JEE Main Marks to Percentile</t>
        </is>
      </c>
      <c r="J75" s="5" t="inlineStr">
        <is>
          <t>/jee/marks-to-percentile</t>
        </is>
      </c>
      <c r="K75" s="5" t="inlineStr">
        <is>
          <t>Comprehensive breakdown of 95.5 percentile: estimated All India Rank, required raw score across shifts, and college branches across NITs, IIITs, and GFTIs.</t>
        </is>
      </c>
      <c r="L75" s="4" t="inlineStr">
        <is>
          <t>YES</t>
        </is>
      </c>
      <c r="M75" s="4" t="inlineStr">
        <is>
          <t>HIGH</t>
        </is>
      </c>
      <c r="N75" s="4" t="inlineStr">
        <is>
          <t>READY</t>
        </is>
      </c>
      <c r="O75" s="5" t="inlineStr"/>
      <c r="P75" s="5" t="inlineStr"/>
      <c r="Q75" s="5" t="inlineStr"/>
      <c r="R75" s="5" t="inlineStr"/>
    </row>
    <row r="76" ht="20" customHeight="1">
      <c r="A76" s="2" t="inlineStr">
        <is>
          <t>ST075</t>
        </is>
      </c>
      <c r="B76" s="3" t="inlineStr">
        <is>
          <t>95 Percentile in JEE Main: Safe Options for General, OBC, EWS, SC, and ST</t>
        </is>
      </c>
      <c r="C76" s="2" t="inlineStr">
        <is>
          <t>JEE</t>
        </is>
      </c>
      <c r="D76" s="3" t="inlineStr">
        <is>
          <t>Percentile</t>
        </is>
      </c>
      <c r="E76" s="2" t="inlineStr">
        <is>
          <t>Explanation</t>
        </is>
      </c>
      <c r="F76" s="2" t="inlineStr">
        <is>
          <t>Educational</t>
        </is>
      </c>
      <c r="G76" s="3" t="inlineStr">
        <is>
          <t>95 percentile in jee main</t>
        </is>
      </c>
      <c r="H76" s="3" t="inlineStr">
        <is>
          <t>95.0 percentile jee rank, 95.0 percentile marks, colleges for 95.0 percentile</t>
        </is>
      </c>
      <c r="I76" s="3" t="inlineStr">
        <is>
          <t>JEE Main Marks to Percentile</t>
        </is>
      </c>
      <c r="J76" s="3" t="inlineStr">
        <is>
          <t>/jee/marks-to-percentile</t>
        </is>
      </c>
      <c r="K76" s="3" t="inlineStr">
        <is>
          <t>Comprehensive breakdown of 95.0 percentile: estimated All India Rank, required raw score across shifts, and college branches across NITs, IIITs, and GFTIs.</t>
        </is>
      </c>
      <c r="L76" s="2" t="inlineStr">
        <is>
          <t>YES</t>
        </is>
      </c>
      <c r="M76" s="2" t="inlineStr">
        <is>
          <t>HIGH</t>
        </is>
      </c>
      <c r="N76" s="2" t="inlineStr">
        <is>
          <t>READY</t>
        </is>
      </c>
      <c r="O76" s="3" t="inlineStr"/>
      <c r="P76" s="3" t="inlineStr"/>
      <c r="Q76" s="3" t="inlineStr"/>
      <c r="R76" s="3" t="inlineStr"/>
    </row>
    <row r="77" ht="20" customHeight="1">
      <c r="A77" s="4" t="inlineStr">
        <is>
          <t>ST076</t>
        </is>
      </c>
      <c r="B77" s="5" t="inlineStr">
        <is>
          <t>94.5 Percentile in JEE Main: Core Engineering Branches in Established NITs</t>
        </is>
      </c>
      <c r="C77" s="4" t="inlineStr">
        <is>
          <t>JEE</t>
        </is>
      </c>
      <c r="D77" s="5" t="inlineStr">
        <is>
          <t>Percentile</t>
        </is>
      </c>
      <c r="E77" s="4" t="inlineStr">
        <is>
          <t>Explanation</t>
        </is>
      </c>
      <c r="F77" s="4" t="inlineStr">
        <is>
          <t>Educational</t>
        </is>
      </c>
      <c r="G77" s="5" t="inlineStr">
        <is>
          <t>94.5 percentile in jee main</t>
        </is>
      </c>
      <c r="H77" s="5" t="inlineStr">
        <is>
          <t>94.5 percentile jee rank, 94.5 percentile marks, colleges for 94.5 percentile</t>
        </is>
      </c>
      <c r="I77" s="5" t="inlineStr">
        <is>
          <t>JEE Main Marks to Percentile</t>
        </is>
      </c>
      <c r="J77" s="5" t="inlineStr">
        <is>
          <t>/jee/marks-to-percentile</t>
        </is>
      </c>
      <c r="K77" s="5" t="inlineStr">
        <is>
          <t>Comprehensive breakdown of 94.5 percentile: estimated All India Rank, required raw score across shifts, and college branches across NITs, IIITs, and GFTIs.</t>
        </is>
      </c>
      <c r="L77" s="4" t="inlineStr">
        <is>
          <t>YES</t>
        </is>
      </c>
      <c r="M77" s="4" t="inlineStr">
        <is>
          <t>MEDIUM</t>
        </is>
      </c>
      <c r="N77" s="4" t="inlineStr">
        <is>
          <t>READY</t>
        </is>
      </c>
      <c r="O77" s="5" t="inlineStr"/>
      <c r="P77" s="5" t="inlineStr"/>
      <c r="Q77" s="5" t="inlineStr"/>
      <c r="R77" s="5" t="inlineStr"/>
    </row>
    <row r="78" ht="20" customHeight="1">
      <c r="A78" s="2" t="inlineStr">
        <is>
          <t>ST077</t>
        </is>
      </c>
      <c r="B78" s="3" t="inlineStr">
        <is>
          <t>94 Percentile in JEE Main: Which NITs and Branches Are Realistic?</t>
        </is>
      </c>
      <c r="C78" s="2" t="inlineStr">
        <is>
          <t>JEE</t>
        </is>
      </c>
      <c r="D78" s="3" t="inlineStr">
        <is>
          <t>Percentile</t>
        </is>
      </c>
      <c r="E78" s="2" t="inlineStr">
        <is>
          <t>Explanation</t>
        </is>
      </c>
      <c r="F78" s="2" t="inlineStr">
        <is>
          <t>Educational</t>
        </is>
      </c>
      <c r="G78" s="3" t="inlineStr">
        <is>
          <t>94 percentile in jee main</t>
        </is>
      </c>
      <c r="H78" s="3" t="inlineStr">
        <is>
          <t>94.0 percentile jee rank, 94.0 percentile marks, colleges for 94.0 percentile</t>
        </is>
      </c>
      <c r="I78" s="3" t="inlineStr">
        <is>
          <t>JEE Main Marks to Percentile</t>
        </is>
      </c>
      <c r="J78" s="3" t="inlineStr">
        <is>
          <t>/jee/marks-to-percentile</t>
        </is>
      </c>
      <c r="K78" s="3" t="inlineStr">
        <is>
          <t>Comprehensive breakdown of 94.0 percentile: estimated All India Rank, required raw score across shifts, and college branches across NITs, IIITs, and GFTIs.</t>
        </is>
      </c>
      <c r="L78" s="2" t="inlineStr">
        <is>
          <t>YES</t>
        </is>
      </c>
      <c r="M78" s="2" t="inlineStr">
        <is>
          <t>MEDIUM</t>
        </is>
      </c>
      <c r="N78" s="2" t="inlineStr">
        <is>
          <t>READY</t>
        </is>
      </c>
      <c r="O78" s="3" t="inlineStr"/>
      <c r="P78" s="3" t="inlineStr"/>
      <c r="Q78" s="3" t="inlineStr"/>
      <c r="R78" s="3" t="inlineStr"/>
    </row>
    <row r="79" ht="20" customHeight="1">
      <c r="A79" s="4" t="inlineStr">
        <is>
          <t>ST078</t>
        </is>
      </c>
      <c r="B79" s="5" t="inlineStr">
        <is>
          <t>93.5 Percentile in JEE Main: CSAB Round Prospects and State Government Colleges</t>
        </is>
      </c>
      <c r="C79" s="4" t="inlineStr">
        <is>
          <t>JEE</t>
        </is>
      </c>
      <c r="D79" s="5" t="inlineStr">
        <is>
          <t>Percentile</t>
        </is>
      </c>
      <c r="E79" s="4" t="inlineStr">
        <is>
          <t>Explanation</t>
        </is>
      </c>
      <c r="F79" s="4" t="inlineStr">
        <is>
          <t>Educational</t>
        </is>
      </c>
      <c r="G79" s="5" t="inlineStr">
        <is>
          <t>93.5 percentile in jee main</t>
        </is>
      </c>
      <c r="H79" s="5" t="inlineStr">
        <is>
          <t>93.5 percentile jee rank, 93.5 percentile marks, colleges for 93.5 percentile</t>
        </is>
      </c>
      <c r="I79" s="5" t="inlineStr">
        <is>
          <t>JEE Main Marks to Percentile</t>
        </is>
      </c>
      <c r="J79" s="5" t="inlineStr">
        <is>
          <t>/jee/marks-to-percentile</t>
        </is>
      </c>
      <c r="K79" s="5" t="inlineStr">
        <is>
          <t>Comprehensive breakdown of 93.5 percentile: estimated All India Rank, required raw score across shifts, and college branches across NITs, IIITs, and GFTIs.</t>
        </is>
      </c>
      <c r="L79" s="4" t="inlineStr">
        <is>
          <t>YES</t>
        </is>
      </c>
      <c r="M79" s="4" t="inlineStr">
        <is>
          <t>MEDIUM</t>
        </is>
      </c>
      <c r="N79" s="4" t="inlineStr">
        <is>
          <t>READY</t>
        </is>
      </c>
      <c r="O79" s="5" t="inlineStr"/>
      <c r="P79" s="5" t="inlineStr"/>
      <c r="Q79" s="5" t="inlineStr"/>
      <c r="R79" s="5" t="inlineStr"/>
    </row>
    <row r="80" ht="20" customHeight="1">
      <c r="A80" s="2" t="inlineStr">
        <is>
          <t>ST079</t>
        </is>
      </c>
      <c r="B80" s="3" t="inlineStr">
        <is>
          <t>93 Percentile in JEE Main: JoSAA vs CSAB Counselling Expectations</t>
        </is>
      </c>
      <c r="C80" s="2" t="inlineStr">
        <is>
          <t>JEE</t>
        </is>
      </c>
      <c r="D80" s="3" t="inlineStr">
        <is>
          <t>Percentile</t>
        </is>
      </c>
      <c r="E80" s="2" t="inlineStr">
        <is>
          <t>Explanation</t>
        </is>
      </c>
      <c r="F80" s="2" t="inlineStr">
        <is>
          <t>Educational</t>
        </is>
      </c>
      <c r="G80" s="3" t="inlineStr">
        <is>
          <t>93 percentile in jee main</t>
        </is>
      </c>
      <c r="H80" s="3" t="inlineStr">
        <is>
          <t>93.0 percentile jee rank, 93.0 percentile marks, colleges for 93.0 percentile</t>
        </is>
      </c>
      <c r="I80" s="3" t="inlineStr">
        <is>
          <t>JEE Main Marks to Percentile</t>
        </is>
      </c>
      <c r="J80" s="3" t="inlineStr">
        <is>
          <t>/jee/marks-to-percentile</t>
        </is>
      </c>
      <c r="K80" s="3" t="inlineStr">
        <is>
          <t>Comprehensive breakdown of 93.0 percentile: estimated All India Rank, required raw score across shifts, and college branches across NITs, IIITs, and GFTIs.</t>
        </is>
      </c>
      <c r="L80" s="2" t="inlineStr">
        <is>
          <t>YES</t>
        </is>
      </c>
      <c r="M80" s="2" t="inlineStr">
        <is>
          <t>MEDIUM</t>
        </is>
      </c>
      <c r="N80" s="2" t="inlineStr">
        <is>
          <t>READY</t>
        </is>
      </c>
      <c r="O80" s="3" t="inlineStr"/>
      <c r="P80" s="3" t="inlineStr"/>
      <c r="Q80" s="3" t="inlineStr"/>
      <c r="R80" s="3" t="inlineStr"/>
    </row>
    <row r="81" ht="20" customHeight="1">
      <c r="A81" s="4" t="inlineStr">
        <is>
          <t>ST080</t>
        </is>
      </c>
      <c r="B81" s="5" t="inlineStr">
        <is>
          <t>92 Percentile in JEE Main: New IIITs and State Government College Options</t>
        </is>
      </c>
      <c r="C81" s="4" t="inlineStr">
        <is>
          <t>JEE</t>
        </is>
      </c>
      <c r="D81" s="5" t="inlineStr">
        <is>
          <t>Percentile</t>
        </is>
      </c>
      <c r="E81" s="4" t="inlineStr">
        <is>
          <t>Explanation</t>
        </is>
      </c>
      <c r="F81" s="4" t="inlineStr">
        <is>
          <t>Educational</t>
        </is>
      </c>
      <c r="G81" s="5" t="inlineStr">
        <is>
          <t>92 percentile in jee main</t>
        </is>
      </c>
      <c r="H81" s="5" t="inlineStr">
        <is>
          <t>92.0 percentile jee rank, 92.0 percentile marks, colleges for 92.0 percentile</t>
        </is>
      </c>
      <c r="I81" s="5" t="inlineStr">
        <is>
          <t>JEE Main Marks to Percentile</t>
        </is>
      </c>
      <c r="J81" s="5" t="inlineStr">
        <is>
          <t>/jee/marks-to-percentile</t>
        </is>
      </c>
      <c r="K81" s="5" t="inlineStr">
        <is>
          <t>Comprehensive breakdown of 92.0 percentile: estimated All India Rank, required raw score across shifts, and college branches across NITs, IIITs, and GFTIs.</t>
        </is>
      </c>
      <c r="L81" s="4" t="inlineStr">
        <is>
          <t>YES</t>
        </is>
      </c>
      <c r="M81" s="4" t="inlineStr">
        <is>
          <t>MEDIUM</t>
        </is>
      </c>
      <c r="N81" s="4" t="inlineStr">
        <is>
          <t>READY</t>
        </is>
      </c>
      <c r="O81" s="5" t="inlineStr"/>
      <c r="P81" s="5" t="inlineStr"/>
      <c r="Q81" s="5" t="inlineStr"/>
      <c r="R81" s="5" t="inlineStr"/>
    </row>
    <row r="82" ht="20" customHeight="1">
      <c r="A82" s="2" t="inlineStr">
        <is>
          <t>ST081</t>
        </is>
      </c>
      <c r="B82" s="3" t="inlineStr">
        <is>
          <t>91 Percentile in JEE Main: Category Quotas and Home State Seat Analysis</t>
        </is>
      </c>
      <c r="C82" s="2" t="inlineStr">
        <is>
          <t>JEE</t>
        </is>
      </c>
      <c r="D82" s="3" t="inlineStr">
        <is>
          <t>Percentile</t>
        </is>
      </c>
      <c r="E82" s="2" t="inlineStr">
        <is>
          <t>Explanation</t>
        </is>
      </c>
      <c r="F82" s="2" t="inlineStr">
        <is>
          <t>Educational</t>
        </is>
      </c>
      <c r="G82" s="3" t="inlineStr">
        <is>
          <t>91 percentile in jee main</t>
        </is>
      </c>
      <c r="H82" s="3" t="inlineStr">
        <is>
          <t>91.0 percentile jee rank, 91.0 percentile marks, colleges for 91.0 percentile</t>
        </is>
      </c>
      <c r="I82" s="3" t="inlineStr">
        <is>
          <t>JEE Main Marks to Percentile</t>
        </is>
      </c>
      <c r="J82" s="3" t="inlineStr">
        <is>
          <t>/jee/marks-to-percentile</t>
        </is>
      </c>
      <c r="K82" s="3" t="inlineStr">
        <is>
          <t>Comprehensive breakdown of 91.0 percentile: estimated All India Rank, required raw score across shifts, and college branches across NITs, IIITs, and GFTIs.</t>
        </is>
      </c>
      <c r="L82" s="2" t="inlineStr">
        <is>
          <t>YES</t>
        </is>
      </c>
      <c r="M82" s="2" t="inlineStr">
        <is>
          <t>MEDIUM</t>
        </is>
      </c>
      <c r="N82" s="2" t="inlineStr">
        <is>
          <t>READY</t>
        </is>
      </c>
      <c r="O82" s="3" t="inlineStr"/>
      <c r="P82" s="3" t="inlineStr"/>
      <c r="Q82" s="3" t="inlineStr"/>
      <c r="R82" s="3" t="inlineStr"/>
    </row>
    <row r="83" ht="20" customHeight="1">
      <c r="A83" s="4" t="inlineStr">
        <is>
          <t>ST082</t>
        </is>
      </c>
      <c r="B83" s="5" t="inlineStr">
        <is>
          <t>90 Percentile in JEE Main: Expected Rank, Qualifying Status, and College Reality</t>
        </is>
      </c>
      <c r="C83" s="4" t="inlineStr">
        <is>
          <t>JEE</t>
        </is>
      </c>
      <c r="D83" s="5" t="inlineStr">
        <is>
          <t>Percentile</t>
        </is>
      </c>
      <c r="E83" s="4" t="inlineStr">
        <is>
          <t>Explanation</t>
        </is>
      </c>
      <c r="F83" s="4" t="inlineStr">
        <is>
          <t>Educational</t>
        </is>
      </c>
      <c r="G83" s="5" t="inlineStr">
        <is>
          <t>90 percentile in jee main</t>
        </is>
      </c>
      <c r="H83" s="5" t="inlineStr">
        <is>
          <t>90.0 percentile jee rank, 90.0 percentile marks, colleges for 90.0 percentile</t>
        </is>
      </c>
      <c r="I83" s="5" t="inlineStr">
        <is>
          <t>JEE Main Marks to Percentile</t>
        </is>
      </c>
      <c r="J83" s="5" t="inlineStr">
        <is>
          <t>/jee/marks-to-percentile</t>
        </is>
      </c>
      <c r="K83" s="5" t="inlineStr">
        <is>
          <t>Comprehensive breakdown of 90.0 percentile: estimated All India Rank, required raw score across shifts, and college branches across NITs, IIITs, and GFTIs.</t>
        </is>
      </c>
      <c r="L83" s="4" t="inlineStr">
        <is>
          <t>YES</t>
        </is>
      </c>
      <c r="M83" s="4" t="inlineStr">
        <is>
          <t>HIGH</t>
        </is>
      </c>
      <c r="N83" s="4" t="inlineStr">
        <is>
          <t>READY</t>
        </is>
      </c>
      <c r="O83" s="5" t="inlineStr"/>
      <c r="P83" s="5" t="inlineStr"/>
      <c r="Q83" s="5" t="inlineStr"/>
      <c r="R83" s="5" t="inlineStr"/>
    </row>
    <row r="84" ht="20" customHeight="1">
      <c r="A84" s="2" t="inlineStr">
        <is>
          <t>ST083</t>
        </is>
      </c>
      <c r="B84" s="3" t="inlineStr">
        <is>
          <t>85 Percentile in JEE Main: College Options Across Quotas and Alternative Exams</t>
        </is>
      </c>
      <c r="C84" s="2" t="inlineStr">
        <is>
          <t>JEE</t>
        </is>
      </c>
      <c r="D84" s="3" t="inlineStr">
        <is>
          <t>Percentile</t>
        </is>
      </c>
      <c r="E84" s="2" t="inlineStr">
        <is>
          <t>Explanation</t>
        </is>
      </c>
      <c r="F84" s="2" t="inlineStr">
        <is>
          <t>Educational</t>
        </is>
      </c>
      <c r="G84" s="3" t="inlineStr">
        <is>
          <t>85 percentile in jee main</t>
        </is>
      </c>
      <c r="H84" s="3" t="inlineStr">
        <is>
          <t>85.0 percentile jee rank, 85.0 percentile marks, colleges for 85.0 percentile</t>
        </is>
      </c>
      <c r="I84" s="3" t="inlineStr">
        <is>
          <t>JEE Main Marks to Percentile</t>
        </is>
      </c>
      <c r="J84" s="3" t="inlineStr">
        <is>
          <t>/jee/marks-to-percentile</t>
        </is>
      </c>
      <c r="K84" s="3" t="inlineStr">
        <is>
          <t>Comprehensive breakdown of 85.0 percentile: estimated All India Rank, required raw score across shifts, and college branches across NITs, IIITs, and GFTIs.</t>
        </is>
      </c>
      <c r="L84" s="2" t="inlineStr">
        <is>
          <t>YES</t>
        </is>
      </c>
      <c r="M84" s="2" t="inlineStr">
        <is>
          <t>MEDIUM</t>
        </is>
      </c>
      <c r="N84" s="2" t="inlineStr">
        <is>
          <t>READY</t>
        </is>
      </c>
      <c r="O84" s="3" t="inlineStr"/>
      <c r="P84" s="3" t="inlineStr"/>
      <c r="Q84" s="3" t="inlineStr"/>
      <c r="R84" s="3" t="inlineStr"/>
    </row>
    <row r="85" ht="20" customHeight="1">
      <c r="A85" s="4" t="inlineStr">
        <is>
          <t>ST084</t>
        </is>
      </c>
      <c r="B85" s="5" t="inlineStr">
        <is>
          <t>80 Percentile in JEE Main: Category Cutoffs and State Level Counselling Paths</t>
        </is>
      </c>
      <c r="C85" s="4" t="inlineStr">
        <is>
          <t>JEE</t>
        </is>
      </c>
      <c r="D85" s="5" t="inlineStr">
        <is>
          <t>Percentile</t>
        </is>
      </c>
      <c r="E85" s="4" t="inlineStr">
        <is>
          <t>Explanation</t>
        </is>
      </c>
      <c r="F85" s="4" t="inlineStr">
        <is>
          <t>Educational</t>
        </is>
      </c>
      <c r="G85" s="5" t="inlineStr">
        <is>
          <t>80 percentile in jee main</t>
        </is>
      </c>
      <c r="H85" s="5" t="inlineStr">
        <is>
          <t>80.0 percentile jee rank, 80.0 percentile marks, colleges for 80.0 percentile</t>
        </is>
      </c>
      <c r="I85" s="5" t="inlineStr">
        <is>
          <t>JEE Main Marks to Percentile</t>
        </is>
      </c>
      <c r="J85" s="5" t="inlineStr">
        <is>
          <t>/jee/marks-to-percentile</t>
        </is>
      </c>
      <c r="K85" s="5" t="inlineStr">
        <is>
          <t>Comprehensive breakdown of 80.0 percentile: estimated All India Rank, required raw score across shifts, and college branches across NITs, IIITs, and GFTIs.</t>
        </is>
      </c>
      <c r="L85" s="4" t="inlineStr">
        <is>
          <t>YES</t>
        </is>
      </c>
      <c r="M85" s="4" t="inlineStr">
        <is>
          <t>MEDIUM</t>
        </is>
      </c>
      <c r="N85" s="4" t="inlineStr">
        <is>
          <t>READY</t>
        </is>
      </c>
      <c r="O85" s="5" t="inlineStr"/>
      <c r="P85" s="5" t="inlineStr"/>
      <c r="Q85" s="5" t="inlineStr"/>
      <c r="R85" s="5" t="inlineStr"/>
    </row>
    <row r="86" ht="20" customHeight="1">
      <c r="A86" s="2" t="inlineStr">
        <is>
          <t>ST085</t>
        </is>
      </c>
      <c r="B86" s="3" t="inlineStr">
        <is>
          <t>75 Percentile in JEE Main: Private Universities and State Engineering Admissions</t>
        </is>
      </c>
      <c r="C86" s="2" t="inlineStr">
        <is>
          <t>JEE</t>
        </is>
      </c>
      <c r="D86" s="3" t="inlineStr">
        <is>
          <t>Percentile</t>
        </is>
      </c>
      <c r="E86" s="2" t="inlineStr">
        <is>
          <t>Explanation</t>
        </is>
      </c>
      <c r="F86" s="2" t="inlineStr">
        <is>
          <t>Educational</t>
        </is>
      </c>
      <c r="G86" s="3" t="inlineStr">
        <is>
          <t>75 percentile in jee main</t>
        </is>
      </c>
      <c r="H86" s="3" t="inlineStr">
        <is>
          <t>75.0 percentile jee rank, 75.0 percentile marks, colleges for 75.0 percentile</t>
        </is>
      </c>
      <c r="I86" s="3" t="inlineStr">
        <is>
          <t>JEE Main Marks to Percentile</t>
        </is>
      </c>
      <c r="J86" s="3" t="inlineStr">
        <is>
          <t>/jee/marks-to-percentile</t>
        </is>
      </c>
      <c r="K86" s="3" t="inlineStr">
        <is>
          <t>Comprehensive breakdown of 75.0 percentile: estimated All India Rank, required raw score across shifts, and college branches across NITs, IIITs, and GFTIs.</t>
        </is>
      </c>
      <c r="L86" s="2" t="inlineStr">
        <is>
          <t>YES</t>
        </is>
      </c>
      <c r="M86" s="2" t="inlineStr">
        <is>
          <t>LOW</t>
        </is>
      </c>
      <c r="N86" s="2" t="inlineStr">
        <is>
          <t>READY</t>
        </is>
      </c>
      <c r="O86" s="3" t="inlineStr"/>
      <c r="P86" s="3" t="inlineStr"/>
      <c r="Q86" s="3" t="inlineStr"/>
      <c r="R86" s="3" t="inlineStr"/>
    </row>
    <row r="87" ht="20" customHeight="1">
      <c r="A87" s="4" t="inlineStr">
        <is>
          <t>ST086</t>
        </is>
      </c>
      <c r="B87" s="5" t="inlineStr">
        <is>
          <t>How to Calculate Your All India Rank (AIR) from JEE Main Percentile</t>
        </is>
      </c>
      <c r="C87" s="4" t="inlineStr">
        <is>
          <t>JEE</t>
        </is>
      </c>
      <c r="D87" s="5" t="inlineStr">
        <is>
          <t>Rank</t>
        </is>
      </c>
      <c r="E87" s="4" t="inlineStr">
        <is>
          <t>Formula Guide</t>
        </is>
      </c>
      <c r="F87" s="4" t="inlineStr">
        <is>
          <t>How-To</t>
        </is>
      </c>
      <c r="G87" s="5" t="inlineStr">
        <is>
          <t>calculate air from jee main percentile</t>
        </is>
      </c>
      <c r="H87" s="5" t="inlineStr">
        <is>
          <t>formula for rank from percentile, jee rank formula, nta percentile to rank conversion</t>
        </is>
      </c>
      <c r="I87" s="5" t="inlineStr">
        <is>
          <t>JEE Main Percentile to Rank</t>
        </is>
      </c>
      <c r="J87" s="5" t="inlineStr">
        <is>
          <t>/jee/percentile-to-rank</t>
        </is>
      </c>
      <c r="K87" s="5" t="inlineStr">
        <is>
          <t>Explain the standard formula: Estimated AIR = (100 - Percentile) * (Total Candidates / 100) + 1, showing sample calculations.</t>
        </is>
      </c>
      <c r="L87" s="4" t="inlineStr">
        <is>
          <t>YES</t>
        </is>
      </c>
      <c r="M87" s="4" t="inlineStr">
        <is>
          <t>HIGH</t>
        </is>
      </c>
      <c r="N87" s="4" t="inlineStr">
        <is>
          <t>READY</t>
        </is>
      </c>
      <c r="O87" s="5" t="inlineStr"/>
      <c r="P87" s="5" t="inlineStr"/>
      <c r="Q87" s="5" t="inlineStr"/>
      <c r="R87" s="5" t="inlineStr"/>
    </row>
    <row r="88" ht="20" customHeight="1">
      <c r="A88" s="2" t="inlineStr">
        <is>
          <t>ST087</t>
        </is>
      </c>
      <c r="B88" s="3" t="inlineStr">
        <is>
          <t>Difference Between Common Rank List (CRL) and Category Rank in JEE Main</t>
        </is>
      </c>
      <c r="C88" s="2" t="inlineStr">
        <is>
          <t>JEE</t>
        </is>
      </c>
      <c r="D88" s="3" t="inlineStr">
        <is>
          <t>Rank</t>
        </is>
      </c>
      <c r="E88" s="2" t="inlineStr">
        <is>
          <t>Comparison</t>
        </is>
      </c>
      <c r="F88" s="2" t="inlineStr">
        <is>
          <t>Educational</t>
        </is>
      </c>
      <c r="G88" s="3" t="inlineStr">
        <is>
          <t>crl vs category rank in jee main</t>
        </is>
      </c>
      <c r="H88" s="3" t="inlineStr">
        <is>
          <t>what is crl rank, category rank vs open rank, josaa counselling rank used</t>
        </is>
      </c>
      <c r="I88" s="3" t="inlineStr">
        <is>
          <t>JEE Main Percentile to Rank</t>
        </is>
      </c>
      <c r="J88" s="3" t="inlineStr">
        <is>
          <t>/jee/percentile-to-rank</t>
        </is>
      </c>
      <c r="K88" s="3" t="inlineStr">
        <is>
          <t>Detail how CRL encompasses all candidates across India while Category Rank (OBC-NCL, EWS, SC, ST) ranks candidates within reserved pools.</t>
        </is>
      </c>
      <c r="L88" s="2" t="inlineStr">
        <is>
          <t>YES</t>
        </is>
      </c>
      <c r="M88" s="2" t="inlineStr">
        <is>
          <t>HIGH</t>
        </is>
      </c>
      <c r="N88" s="2" t="inlineStr">
        <is>
          <t>READY</t>
        </is>
      </c>
      <c r="O88" s="3" t="inlineStr"/>
      <c r="P88" s="3" t="inlineStr"/>
      <c r="Q88" s="3" t="inlineStr"/>
      <c r="R88" s="3" t="inlineStr"/>
    </row>
    <row r="89" ht="20" customHeight="1">
      <c r="A89" s="4" t="inlineStr">
        <is>
          <t>ST088</t>
        </is>
      </c>
      <c r="B89" s="5" t="inlineStr">
        <is>
          <t>Why Do Two Rank Predictors Give Different Results for the Same Percentile?</t>
        </is>
      </c>
      <c r="C89" s="4" t="inlineStr">
        <is>
          <t>JEE</t>
        </is>
      </c>
      <c r="D89" s="5" t="inlineStr">
        <is>
          <t>Rank</t>
        </is>
      </c>
      <c r="E89" s="4" t="inlineStr">
        <is>
          <t>Explanation</t>
        </is>
      </c>
      <c r="F89" s="4" t="inlineStr">
        <is>
          <t>Informational</t>
        </is>
      </c>
      <c r="G89" s="5" t="inlineStr">
        <is>
          <t>why do jee rank predictors differ</t>
        </is>
      </c>
      <c r="H89" s="5" t="inlineStr">
        <is>
          <t>rank predictor accuracy, total candidates assumption rank predictor, rank calculation discrepancy</t>
        </is>
      </c>
      <c r="I89" s="5" t="inlineStr">
        <is>
          <t>JEE Main Percentile to Rank</t>
        </is>
      </c>
      <c r="J89" s="5" t="inlineStr">
        <is>
          <t>/jee/percentile-to-rank</t>
        </is>
      </c>
      <c r="K89" s="5" t="inlineStr">
        <is>
          <t>Explain that variance comes from assumptions regarding total unique test-takers (e.g., 12.5 lakh vs 14 lakh) and tie-breaking estimates.</t>
        </is>
      </c>
      <c r="L89" s="4" t="inlineStr">
        <is>
          <t>YES</t>
        </is>
      </c>
      <c r="M89" s="4" t="inlineStr">
        <is>
          <t>HIGH</t>
        </is>
      </c>
      <c r="N89" s="4" t="inlineStr">
        <is>
          <t>READY</t>
        </is>
      </c>
      <c r="O89" s="5" t="inlineStr"/>
      <c r="P89" s="5" t="inlineStr"/>
      <c r="Q89" s="5" t="inlineStr"/>
      <c r="R89" s="5" t="inlineStr"/>
    </row>
    <row r="90" ht="20" customHeight="1">
      <c r="A90" s="2" t="inlineStr">
        <is>
          <t>ST089</t>
        </is>
      </c>
      <c r="B90" s="3" t="inlineStr">
        <is>
          <t>Understanding PwD Category Rank Calculation in JEE Main</t>
        </is>
      </c>
      <c r="C90" s="2" t="inlineStr">
        <is>
          <t>JEE</t>
        </is>
      </c>
      <c r="D90" s="3" t="inlineStr">
        <is>
          <t>Rank</t>
        </is>
      </c>
      <c r="E90" s="2" t="inlineStr">
        <is>
          <t>Guide</t>
        </is>
      </c>
      <c r="F90" s="2" t="inlineStr">
        <is>
          <t>Reference</t>
        </is>
      </c>
      <c r="G90" s="3" t="inlineStr">
        <is>
          <t>pwd rank in jee main</t>
        </is>
      </c>
      <c r="H90" s="3" t="inlineStr">
        <is>
          <t>pwd reservation jee main, horizontal reservation engineering colleges, pwd cutoff ranks</t>
        </is>
      </c>
      <c r="I90" s="3" t="inlineStr">
        <is>
          <t>JEE Main Percentile to Rank</t>
        </is>
      </c>
      <c r="J90" s="3" t="inlineStr">
        <is>
          <t>/jee/percentile-to-rank</t>
        </is>
      </c>
      <c r="K90" s="3" t="inlineStr">
        <is>
          <t>Explain horizontal reservation for PwD candidates across General, OBC, EWS, SC, and ST categories and how PwD merit rank functions.</t>
        </is>
      </c>
      <c r="L90" s="2" t="inlineStr">
        <is>
          <t>YES</t>
        </is>
      </c>
      <c r="M90" s="2" t="inlineStr">
        <is>
          <t>MEDIUM</t>
        </is>
      </c>
      <c r="N90" s="2" t="inlineStr">
        <is>
          <t>READY</t>
        </is>
      </c>
      <c r="O90" s="3" t="inlineStr"/>
      <c r="P90" s="3" t="inlineStr"/>
      <c r="Q90" s="3" t="inlineStr"/>
      <c r="R90" s="3" t="inlineStr"/>
    </row>
    <row r="91" ht="20" customHeight="1">
      <c r="A91" s="4" t="inlineStr">
        <is>
          <t>ST090</t>
        </is>
      </c>
      <c r="B91" s="5" t="inlineStr">
        <is>
          <t>How Many Candidates Appear in JEE Main Each Year and How It Affects Ranks</t>
        </is>
      </c>
      <c r="C91" s="4" t="inlineStr">
        <is>
          <t>JEE</t>
        </is>
      </c>
      <c r="D91" s="5" t="inlineStr">
        <is>
          <t>Rank</t>
        </is>
      </c>
      <c r="E91" s="4" t="inlineStr">
        <is>
          <t>Explanation</t>
        </is>
      </c>
      <c r="F91" s="4" t="inlineStr">
        <is>
          <t>Reference</t>
        </is>
      </c>
      <c r="G91" s="5" t="inlineStr">
        <is>
          <t>how many students appear for jee main</t>
        </is>
      </c>
      <c r="H91" s="5" t="inlineStr">
        <is>
          <t>total applicants jee main, jee candidate volume trend, competition level jee</t>
        </is>
      </c>
      <c r="I91" s="5" t="inlineStr">
        <is>
          <t>JEE Main Percentile to Rank</t>
        </is>
      </c>
      <c r="J91" s="5" t="inlineStr">
        <is>
          <t>/jee/percentile-to-rank</t>
        </is>
      </c>
      <c r="K91" s="5" t="inlineStr">
        <is>
          <t>Analyze the multi-year trajectory of unique applicants and explain why higher candidate registration stretches the absolute rank scale.</t>
        </is>
      </c>
      <c r="L91" s="4" t="inlineStr">
        <is>
          <t>YES</t>
        </is>
      </c>
      <c r="M91" s="4" t="inlineStr">
        <is>
          <t>HIGH</t>
        </is>
      </c>
      <c r="N91" s="4" t="inlineStr">
        <is>
          <t>READY</t>
        </is>
      </c>
      <c r="O91" s="5" t="inlineStr"/>
      <c r="P91" s="5" t="inlineStr"/>
      <c r="Q91" s="5" t="inlineStr"/>
      <c r="R91" s="5" t="inlineStr"/>
    </row>
    <row r="92" ht="20" customHeight="1">
      <c r="A92" s="2" t="inlineStr">
        <is>
          <t>ST091</t>
        </is>
      </c>
      <c r="B92" s="3" t="inlineStr">
        <is>
          <t>Can Category Rank Be Higher than CRL Rank in JEE Main?</t>
        </is>
      </c>
      <c r="C92" s="2" t="inlineStr">
        <is>
          <t>JEE</t>
        </is>
      </c>
      <c r="D92" s="3" t="inlineStr">
        <is>
          <t>Rank</t>
        </is>
      </c>
      <c r="E92" s="2" t="inlineStr">
        <is>
          <t>Explanation</t>
        </is>
      </c>
      <c r="F92" s="2" t="inlineStr">
        <is>
          <t>Educational</t>
        </is>
      </c>
      <c r="G92" s="3" t="inlineStr">
        <is>
          <t>can category rank be higher than crl</t>
        </is>
      </c>
      <c r="H92" s="3" t="inlineStr">
        <is>
          <t>category rank vs crl number, understanding category merit, jee scorecard ranks explained</t>
        </is>
      </c>
      <c r="I92" s="3" t="inlineStr">
        <is>
          <t>JEE Main Percentile to Rank</t>
        </is>
      </c>
      <c r="J92" s="3" t="inlineStr">
        <is>
          <t>/jee/percentile-to-rank</t>
        </is>
      </c>
      <c r="K92" s="3" t="inlineStr">
        <is>
          <t>Clear up numerical confusion: category rank is always a smaller number (e.g., Category Rank 1,500 vs CRL 12,000), meaning a better relative position.</t>
        </is>
      </c>
      <c r="L92" s="2" t="inlineStr">
        <is>
          <t>YES</t>
        </is>
      </c>
      <c r="M92" s="2" t="inlineStr">
        <is>
          <t>MEDIUM</t>
        </is>
      </c>
      <c r="N92" s="2" t="inlineStr">
        <is>
          <t>READY</t>
        </is>
      </c>
      <c r="O92" s="3" t="inlineStr"/>
      <c r="P92" s="3" t="inlineStr"/>
      <c r="Q92" s="3" t="inlineStr"/>
      <c r="R92" s="3" t="inlineStr"/>
    </row>
    <row r="93" ht="20" customHeight="1">
      <c r="A93" s="4" t="inlineStr">
        <is>
          <t>ST092</t>
        </is>
      </c>
      <c r="B93" s="5" t="inlineStr">
        <is>
          <t>How Unique Candidates Across Both Sessions Impact the Final CRL</t>
        </is>
      </c>
      <c r="C93" s="4" t="inlineStr">
        <is>
          <t>JEE</t>
        </is>
      </c>
      <c r="D93" s="5" t="inlineStr">
        <is>
          <t>Rank</t>
        </is>
      </c>
      <c r="E93" s="4" t="inlineStr">
        <is>
          <t>Explanation</t>
        </is>
      </c>
      <c r="F93" s="4" t="inlineStr">
        <is>
          <t>Educational</t>
        </is>
      </c>
      <c r="G93" s="5" t="inlineStr">
        <is>
          <t>unique candidates in jee main final rank</t>
        </is>
      </c>
      <c r="H93" s="5" t="inlineStr">
        <is>
          <t>session 1 session 2 overlap, unique registration nta, final crl generation process</t>
        </is>
      </c>
      <c r="I93" s="5" t="inlineStr">
        <is>
          <t>JEE Main Percentile to Rank</t>
        </is>
      </c>
      <c r="J93" s="5" t="inlineStr">
        <is>
          <t>/jee/percentile-to-rank</t>
        </is>
      </c>
      <c r="K93" s="5" t="inlineStr">
        <is>
          <t>Explain why final All India Ranks are only declared after Session 2 when the total count of unique individual test-takers is finalized.</t>
        </is>
      </c>
      <c r="L93" s="4" t="inlineStr">
        <is>
          <t>YES</t>
        </is>
      </c>
      <c r="M93" s="4" t="inlineStr">
        <is>
          <t>HIGH</t>
        </is>
      </c>
      <c r="N93" s="4" t="inlineStr">
        <is>
          <t>READY</t>
        </is>
      </c>
      <c r="O93" s="5" t="inlineStr"/>
      <c r="P93" s="5" t="inlineStr"/>
      <c r="Q93" s="5" t="inlineStr"/>
      <c r="R93" s="5" t="inlineStr"/>
    </row>
    <row r="94" ht="20" customHeight="1">
      <c r="A94" s="2" t="inlineStr">
        <is>
          <t>ST093</t>
        </is>
      </c>
      <c r="B94" s="3" t="inlineStr">
        <is>
          <t>How Tie-Breaking Affects Final All India Rank Allocation</t>
        </is>
      </c>
      <c r="C94" s="2" t="inlineStr">
        <is>
          <t>JEE</t>
        </is>
      </c>
      <c r="D94" s="3" t="inlineStr">
        <is>
          <t>Rank</t>
        </is>
      </c>
      <c r="E94" s="2" t="inlineStr">
        <is>
          <t>Explanation</t>
        </is>
      </c>
      <c r="F94" s="2" t="inlineStr">
        <is>
          <t>Reference</t>
        </is>
      </c>
      <c r="G94" s="3" t="inlineStr">
        <is>
          <t>how does tie breaking change jee rank</t>
        </is>
      </c>
      <c r="H94" s="3" t="inlineStr">
        <is>
          <t>same percentile different rank jee, tie breaker impact air, nta merit allocation</t>
        </is>
      </c>
      <c r="I94" s="3" t="inlineStr">
        <is>
          <t>JEE Main Percentile to Rank</t>
        </is>
      </c>
      <c r="J94" s="3" t="inlineStr">
        <is>
          <t>/jee/percentile-to-rank</t>
        </is>
      </c>
      <c r="K94" s="3" t="inlineStr">
        <is>
          <t>Detail real situations where candidates with identical overall percentiles receive ranks separated by hundreds of positions due to subject tie-breakers.</t>
        </is>
      </c>
      <c r="L94" s="2" t="inlineStr">
        <is>
          <t>YES</t>
        </is>
      </c>
      <c r="M94" s="2" t="inlineStr">
        <is>
          <t>HIGH</t>
        </is>
      </c>
      <c r="N94" s="2" t="inlineStr">
        <is>
          <t>READY</t>
        </is>
      </c>
      <c r="O94" s="3" t="inlineStr"/>
      <c r="P94" s="3" t="inlineStr"/>
      <c r="Q94" s="3" t="inlineStr"/>
      <c r="R94" s="3" t="inlineStr"/>
    </row>
    <row r="95" ht="20" customHeight="1">
      <c r="A95" s="4" t="inlineStr">
        <is>
          <t>ST094</t>
        </is>
      </c>
      <c r="B95" s="5" t="inlineStr">
        <is>
          <t>Rank Range for Getting Computer Science in Top 5 NITs</t>
        </is>
      </c>
      <c r="C95" s="4" t="inlineStr">
        <is>
          <t>JEE</t>
        </is>
      </c>
      <c r="D95" s="5" t="inlineStr">
        <is>
          <t>Rank</t>
        </is>
      </c>
      <c r="E95" s="4" t="inlineStr">
        <is>
          <t>Guide</t>
        </is>
      </c>
      <c r="F95" s="4" t="inlineStr">
        <is>
          <t>Reference</t>
        </is>
      </c>
      <c r="G95" s="5" t="inlineStr">
        <is>
          <t>rank required for cse in top nits</t>
        </is>
      </c>
      <c r="H95" s="5" t="inlineStr">
        <is>
          <t>nit trichy cse closing rank, nit surathkal cse cutoff, closing rank for cse in nits</t>
        </is>
      </c>
      <c r="I95" s="5" t="inlineStr">
        <is>
          <t>JEE Main Percentile to Rank</t>
        </is>
      </c>
      <c r="J95" s="5" t="inlineStr">
        <is>
          <t>/jee/percentile-to-rank</t>
        </is>
      </c>
      <c r="K95" s="5" t="inlineStr">
        <is>
          <t>Detailed review of closing ranks (AIR 1,000 to AIR 5,000) for Computer Science across NIT Trichy, Surathkal, Warangal, Rourkela, and Calicut.</t>
        </is>
      </c>
      <c r="L95" s="4" t="inlineStr">
        <is>
          <t>YES</t>
        </is>
      </c>
      <c r="M95" s="4" t="inlineStr">
        <is>
          <t>HIGH</t>
        </is>
      </c>
      <c r="N95" s="4" t="inlineStr">
        <is>
          <t>READY</t>
        </is>
      </c>
      <c r="O95" s="5" t="inlineStr"/>
      <c r="P95" s="5" t="inlineStr"/>
      <c r="Q95" s="5" t="inlineStr"/>
      <c r="R95" s="5" t="inlineStr"/>
    </row>
    <row r="96" ht="20" customHeight="1">
      <c r="A96" s="2" t="inlineStr">
        <is>
          <t>ST095</t>
        </is>
      </c>
      <c r="B96" s="3" t="inlineStr">
        <is>
          <t>What Is a Safe Rank in JEE Main for General Category in NITs?</t>
        </is>
      </c>
      <c r="C96" s="2" t="inlineStr">
        <is>
          <t>JEE</t>
        </is>
      </c>
      <c r="D96" s="3" t="inlineStr">
        <is>
          <t>Rank</t>
        </is>
      </c>
      <c r="E96" s="2" t="inlineStr">
        <is>
          <t>Guide</t>
        </is>
      </c>
      <c r="F96" s="2" t="inlineStr">
        <is>
          <t>Reference</t>
        </is>
      </c>
      <c r="G96" s="3" t="inlineStr">
        <is>
          <t>safe rank for general category in nits</t>
        </is>
      </c>
      <c r="H96" s="3" t="inlineStr">
        <is>
          <t>maximum closing rank nits general, safe air for nit admission, getting into nit with general rank</t>
        </is>
      </c>
      <c r="I96" s="3" t="inlineStr">
        <is>
          <t>JEE Main Percentile to Rank</t>
        </is>
      </c>
      <c r="J96" s="3" t="inlineStr">
        <is>
          <t>/jee/percentile-to-rank</t>
        </is>
      </c>
      <c r="K96" s="3" t="inlineStr">
        <is>
          <t>Comprehensive review showing safe CRL ranks (typically within AIR 40,000-45,000 for other state and up to 60,000 for home state quota).</t>
        </is>
      </c>
      <c r="L96" s="2" t="inlineStr">
        <is>
          <t>YES</t>
        </is>
      </c>
      <c r="M96" s="2" t="inlineStr">
        <is>
          <t>HIGH</t>
        </is>
      </c>
      <c r="N96" s="2" t="inlineStr">
        <is>
          <t>READY</t>
        </is>
      </c>
      <c r="O96" s="3" t="inlineStr"/>
      <c r="P96" s="3" t="inlineStr"/>
      <c r="Q96" s="3" t="inlineStr"/>
      <c r="R96" s="3" t="inlineStr"/>
    </row>
    <row r="97" ht="20" customHeight="1">
      <c r="A97" s="4" t="inlineStr">
        <is>
          <t>ST096</t>
        </is>
      </c>
      <c r="B97" s="5" t="inlineStr">
        <is>
          <t>OBC-NCL Rank vs CRL: How Reservation Modifies Admission Chances</t>
        </is>
      </c>
      <c r="C97" s="4" t="inlineStr">
        <is>
          <t>JEE</t>
        </is>
      </c>
      <c r="D97" s="5" t="inlineStr">
        <is>
          <t>Rank</t>
        </is>
      </c>
      <c r="E97" s="4" t="inlineStr">
        <is>
          <t>Comparison</t>
        </is>
      </c>
      <c r="F97" s="4" t="inlineStr">
        <is>
          <t>Educational</t>
        </is>
      </c>
      <c r="G97" s="5" t="inlineStr">
        <is>
          <t>obc ncl rank vs crl in josaa</t>
        </is>
      </c>
      <c r="H97" s="5" t="inlineStr">
        <is>
          <t>obc rank benefits, obc category closing rank nits, crl vs obc rank conversion</t>
        </is>
      </c>
      <c r="I97" s="5" t="inlineStr">
        <is>
          <t>JEE Main Percentile to Rank</t>
        </is>
      </c>
      <c r="J97" s="5" t="inlineStr">
        <is>
          <t>/jee/percentile-to-rank</t>
        </is>
      </c>
      <c r="K97" s="5" t="inlineStr">
        <is>
          <t>Explain how JoSAA uses CRL for Open seats and Category rank for Reserved seats, illustrating the seat matrix dual-evaluation process.</t>
        </is>
      </c>
      <c r="L97" s="4" t="inlineStr">
        <is>
          <t>YES</t>
        </is>
      </c>
      <c r="M97" s="4" t="inlineStr">
        <is>
          <t>HIGH</t>
        </is>
      </c>
      <c r="N97" s="4" t="inlineStr">
        <is>
          <t>READY</t>
        </is>
      </c>
      <c r="O97" s="5" t="inlineStr"/>
      <c r="P97" s="5" t="inlineStr"/>
      <c r="Q97" s="5" t="inlineStr"/>
      <c r="R97" s="5" t="inlineStr"/>
    </row>
    <row r="98" ht="20" customHeight="1">
      <c r="A98" s="2" t="inlineStr">
        <is>
          <t>ST097</t>
        </is>
      </c>
      <c r="B98" s="3" t="inlineStr">
        <is>
          <t>EWS Category Rank: Trends, Availability, and Cutoff Ranks in JoSAA</t>
        </is>
      </c>
      <c r="C98" s="2" t="inlineStr">
        <is>
          <t>JEE</t>
        </is>
      </c>
      <c r="D98" s="3" t="inlineStr">
        <is>
          <t>Rank</t>
        </is>
      </c>
      <c r="E98" s="2" t="inlineStr">
        <is>
          <t>Guide</t>
        </is>
      </c>
      <c r="F98" s="2" t="inlineStr">
        <is>
          <t>Reference</t>
        </is>
      </c>
      <c r="G98" s="3" t="inlineStr">
        <is>
          <t>ews category rank cutoffs jee main</t>
        </is>
      </c>
      <c r="H98" s="3" t="inlineStr">
        <is>
          <t>ews rank vs crl rank, ews quota benefits nit, ews closing ranks engineering</t>
        </is>
      </c>
      <c r="I98" s="3" t="inlineStr">
        <is>
          <t>JEE Main Percentile to Rank</t>
        </is>
      </c>
      <c r="J98" s="3" t="inlineStr">
        <is>
          <t>/jee/percentile-to-rank</t>
        </is>
      </c>
      <c r="K98" s="3" t="inlineStr">
        <is>
          <t>Analyze 10% EWS quota allocation, typical ratio between EWS rank and CRL rank (roughly 1:6 to 1:8), and branch impact.</t>
        </is>
      </c>
      <c r="L98" s="2" t="inlineStr">
        <is>
          <t>YES</t>
        </is>
      </c>
      <c r="M98" s="2" t="inlineStr">
        <is>
          <t>MEDIUM</t>
        </is>
      </c>
      <c r="N98" s="2" t="inlineStr">
        <is>
          <t>READY</t>
        </is>
      </c>
      <c r="O98" s="3" t="inlineStr"/>
      <c r="P98" s="3" t="inlineStr"/>
      <c r="Q98" s="3" t="inlineStr"/>
      <c r="R98" s="3" t="inlineStr"/>
    </row>
    <row r="99" ht="20" customHeight="1">
      <c r="A99" s="4" t="inlineStr">
        <is>
          <t>ST098</t>
        </is>
      </c>
      <c r="B99" s="5" t="inlineStr">
        <is>
          <t>SC and ST Category Rank Dynamics in Top Engineering Institutes</t>
        </is>
      </c>
      <c r="C99" s="4" t="inlineStr">
        <is>
          <t>JEE</t>
        </is>
      </c>
      <c r="D99" s="5" t="inlineStr">
        <is>
          <t>Rank</t>
        </is>
      </c>
      <c r="E99" s="4" t="inlineStr">
        <is>
          <t>Guide</t>
        </is>
      </c>
      <c r="F99" s="4" t="inlineStr">
        <is>
          <t>Reference</t>
        </is>
      </c>
      <c r="G99" s="5" t="inlineStr">
        <is>
          <t>sc st rank cutoffs in nits</t>
        </is>
      </c>
      <c r="H99" s="5" t="inlineStr">
        <is>
          <t>sc category rank vs crl, st category closing ranks, reservation cutoffs engineering</t>
        </is>
      </c>
      <c r="I99" s="5" t="inlineStr">
        <is>
          <t>JEE Main Percentile to Rank</t>
        </is>
      </c>
      <c r="J99" s="5" t="inlineStr">
        <is>
          <t>/jee/percentile-to-rank</t>
        </is>
      </c>
      <c r="K99" s="5" t="inlineStr">
        <is>
          <t>Explain seat allocation dynamics for SC (15%) and ST (7.5%) categories in NITs, IIITs, and GFTIs with representative closing rank milestones.</t>
        </is>
      </c>
      <c r="L99" s="4" t="inlineStr">
        <is>
          <t>YES</t>
        </is>
      </c>
      <c r="M99" s="4" t="inlineStr">
        <is>
          <t>MEDIUM</t>
        </is>
      </c>
      <c r="N99" s="4" t="inlineStr">
        <is>
          <t>READY</t>
        </is>
      </c>
      <c r="O99" s="5" t="inlineStr"/>
      <c r="P99" s="5" t="inlineStr"/>
      <c r="Q99" s="5" t="inlineStr"/>
      <c r="R99" s="5" t="inlineStr"/>
    </row>
    <row r="100" ht="20" customHeight="1">
      <c r="A100" s="2" t="inlineStr">
        <is>
          <t>ST099</t>
        </is>
      </c>
      <c r="B100" s="3" t="inlineStr">
        <is>
          <t>Female Supernumerary Quota: How It Lowers Closing Ranks for Girls</t>
        </is>
      </c>
      <c r="C100" s="2" t="inlineStr">
        <is>
          <t>JEE</t>
        </is>
      </c>
      <c r="D100" s="3" t="inlineStr">
        <is>
          <t>Rank</t>
        </is>
      </c>
      <c r="E100" s="2" t="inlineStr">
        <is>
          <t>Guide</t>
        </is>
      </c>
      <c r="F100" s="2" t="inlineStr">
        <is>
          <t>Reference</t>
        </is>
      </c>
      <c r="G100" s="3" t="inlineStr">
        <is>
          <t>female supernumerary quota in nits</t>
        </is>
      </c>
      <c r="H100" s="3" t="inlineStr">
        <is>
          <t>girls quota in jee main, female closing rank difference, 20 percent female quota engineering</t>
        </is>
      </c>
      <c r="I100" s="3" t="inlineStr">
        <is>
          <t>JEE Main Percentile to Rank</t>
        </is>
      </c>
      <c r="J100" s="3" t="inlineStr">
        <is>
          <t>/jee/percentile-to-rank</t>
        </is>
      </c>
      <c r="K100" s="3" t="inlineStr">
        <is>
          <t>Explain the 20% female supernumerary seat allocation policy in NITs and IITs, illustrating how female closing ranks compare to gender-neutral ranks.</t>
        </is>
      </c>
      <c r="L100" s="2" t="inlineStr">
        <is>
          <t>YES</t>
        </is>
      </c>
      <c r="M100" s="2" t="inlineStr">
        <is>
          <t>HIGH</t>
        </is>
      </c>
      <c r="N100" s="2" t="inlineStr">
        <is>
          <t>READY</t>
        </is>
      </c>
      <c r="O100" s="3" t="inlineStr"/>
      <c r="P100" s="3" t="inlineStr"/>
      <c r="Q100" s="3" t="inlineStr"/>
      <c r="R100" s="3" t="inlineStr"/>
    </row>
    <row r="101" ht="20" customHeight="1">
      <c r="A101" s="4" t="inlineStr">
        <is>
          <t>ST100</t>
        </is>
      </c>
      <c r="B101" s="5" t="inlineStr">
        <is>
          <t>Rank Predictor vs Official NTA Rank: Understanding the Error Margin</t>
        </is>
      </c>
      <c r="C101" s="4" t="inlineStr">
        <is>
          <t>JEE</t>
        </is>
      </c>
      <c r="D101" s="5" t="inlineStr">
        <is>
          <t>Rank</t>
        </is>
      </c>
      <c r="E101" s="4" t="inlineStr">
        <is>
          <t>Explanation</t>
        </is>
      </c>
      <c r="F101" s="4" t="inlineStr">
        <is>
          <t>Educational</t>
        </is>
      </c>
      <c r="G101" s="5" t="inlineStr">
        <is>
          <t>accuracy of jee rank predictors</t>
        </is>
      </c>
      <c r="H101" s="5" t="inlineStr">
        <is>
          <t>rank predictor error margin, why predicted rank changes, trusting rank estimators</t>
        </is>
      </c>
      <c r="I101" s="5" t="inlineStr">
        <is>
          <t>JEE Main Percentile to Rank</t>
        </is>
      </c>
      <c r="J101" s="5" t="inlineStr">
        <is>
          <t>/jee/percentile-to-rank</t>
        </is>
      </c>
      <c r="K101" s="5" t="inlineStr">
        <is>
          <t>Provide an honest statistical assessment of error margins (+/- 1% to 3%) inherent in any pre-official rank estimator.</t>
        </is>
      </c>
      <c r="L101" s="4" t="inlineStr">
        <is>
          <t>YES</t>
        </is>
      </c>
      <c r="M101" s="4" t="inlineStr">
        <is>
          <t>MEDIUM</t>
        </is>
      </c>
      <c r="N101" s="4" t="inlineStr">
        <is>
          <t>READY</t>
        </is>
      </c>
      <c r="O101" s="5" t="inlineStr"/>
      <c r="P101" s="5" t="inlineStr"/>
      <c r="Q101" s="5" t="inlineStr"/>
      <c r="R101" s="5" t="inlineStr"/>
    </row>
    <row r="102" ht="20" customHeight="1">
      <c r="A102" s="2" t="inlineStr">
        <is>
          <t>ST101</t>
        </is>
      </c>
      <c r="B102" s="3" t="inlineStr">
        <is>
          <t>What Rank Is Needed to Qualify for JEE Advanced?</t>
        </is>
      </c>
      <c r="C102" s="2" t="inlineStr">
        <is>
          <t>JEE</t>
        </is>
      </c>
      <c r="D102" s="3" t="inlineStr">
        <is>
          <t>Rank</t>
        </is>
      </c>
      <c r="E102" s="2" t="inlineStr">
        <is>
          <t>Guide</t>
        </is>
      </c>
      <c r="F102" s="2" t="inlineStr">
        <is>
          <t>Reference</t>
        </is>
      </c>
      <c r="G102" s="3" t="inlineStr">
        <is>
          <t>rank needed to qualify for jee advanced</t>
        </is>
      </c>
      <c r="H102" s="3" t="inlineStr">
        <is>
          <t>top 2.5 lakh candidates jee main, qualifying rank advanced, cutoff rank jee advanced</t>
        </is>
      </c>
      <c r="I102" s="3" t="inlineStr">
        <is>
          <t>JEE Main Percentile to Rank</t>
        </is>
      </c>
      <c r="J102" s="3" t="inlineStr">
        <is>
          <t>/jee/percentile-to-rank</t>
        </is>
      </c>
      <c r="K102" s="3" t="inlineStr">
        <is>
          <t>Break down the category-wise distribution of the top 2,50,000 candidates eligible to sit for JEE Advanced.</t>
        </is>
      </c>
      <c r="L102" s="2" t="inlineStr">
        <is>
          <t>YES</t>
        </is>
      </c>
      <c r="M102" s="2" t="inlineStr">
        <is>
          <t>HIGH</t>
        </is>
      </c>
      <c r="N102" s="2" t="inlineStr">
        <is>
          <t>READY</t>
        </is>
      </c>
      <c r="O102" s="3" t="inlineStr"/>
      <c r="P102" s="3" t="inlineStr"/>
      <c r="Q102" s="3" t="inlineStr"/>
      <c r="R102" s="3" t="inlineStr"/>
    </row>
    <row r="103" ht="20" customHeight="1">
      <c r="A103" s="4" t="inlineStr">
        <is>
          <t>ST102</t>
        </is>
      </c>
      <c r="B103" s="5" t="inlineStr">
        <is>
          <t>What Can You Get with a Rank Between 50,000 and 1,00,000 in JEE Main?</t>
        </is>
      </c>
      <c r="C103" s="4" t="inlineStr">
        <is>
          <t>JEE</t>
        </is>
      </c>
      <c r="D103" s="5" t="inlineStr">
        <is>
          <t>Rank</t>
        </is>
      </c>
      <c r="E103" s="4" t="inlineStr">
        <is>
          <t>Guide</t>
        </is>
      </c>
      <c r="F103" s="4" t="inlineStr">
        <is>
          <t>Educational</t>
        </is>
      </c>
      <c r="G103" s="5" t="inlineStr">
        <is>
          <t>colleges for 50000 to 100000 rank in jee main</t>
        </is>
      </c>
      <c r="H103" s="5" t="inlineStr">
        <is>
          <t>gfti admission 75000 rank, state colleges 80000 rank, csab round options 1 lakh rank</t>
        </is>
      </c>
      <c r="I103" s="5" t="inlineStr">
        <is>
          <t>JEE Main Percentile to Rank</t>
        </is>
      </c>
      <c r="J103" s="5" t="inlineStr">
        <is>
          <t>/jee/percentile-to-rank</t>
        </is>
      </c>
      <c r="K103" s="5" t="inlineStr">
        <is>
          <t>Realistic roadmap for candidates in the 50k-100k rank band: North-East NITs, established GFTIs, and prominent state government universities.</t>
        </is>
      </c>
      <c r="L103" s="4" t="inlineStr">
        <is>
          <t>YES</t>
        </is>
      </c>
      <c r="M103" s="4" t="inlineStr">
        <is>
          <t>HIGH</t>
        </is>
      </c>
      <c r="N103" s="4" t="inlineStr">
        <is>
          <t>READY</t>
        </is>
      </c>
      <c r="O103" s="5" t="inlineStr"/>
      <c r="P103" s="5" t="inlineStr"/>
      <c r="Q103" s="5" t="inlineStr"/>
      <c r="R103" s="5" t="inlineStr"/>
    </row>
    <row r="104" ht="20" customHeight="1">
      <c r="A104" s="2" t="inlineStr">
        <is>
          <t>ST103</t>
        </is>
      </c>
      <c r="B104" s="3" t="inlineStr">
        <is>
          <t>Understanding State Merit Rank vs All India Rank in Engineering Admissions</t>
        </is>
      </c>
      <c r="C104" s="2" t="inlineStr">
        <is>
          <t>JEE</t>
        </is>
      </c>
      <c r="D104" s="3" t="inlineStr">
        <is>
          <t>Rank</t>
        </is>
      </c>
      <c r="E104" s="2" t="inlineStr">
        <is>
          <t>Comparison</t>
        </is>
      </c>
      <c r="F104" s="2" t="inlineStr">
        <is>
          <t>Educational</t>
        </is>
      </c>
      <c r="G104" s="3" t="inlineStr">
        <is>
          <t>state rank vs all india rank jee main</t>
        </is>
      </c>
      <c r="H104" s="3" t="inlineStr">
        <is>
          <t>state engineering counselling rank, dtu nsut state rank, reap jac delhi state rank</t>
        </is>
      </c>
      <c r="I104" s="3" t="inlineStr">
        <is>
          <t>JEE Main Percentile to Rank</t>
        </is>
      </c>
      <c r="J104" s="3" t="inlineStr">
        <is>
          <t>/jee/percentile-to-rank</t>
        </is>
      </c>
      <c r="K104" s="3" t="inlineStr">
        <is>
          <t>Explain how state counselling bodies (JAC Delhi, REAP Rajasthan, HSTES Haryana, UPTAC) convert JEE Main CRL into separate state merit lists.</t>
        </is>
      </c>
      <c r="L104" s="2" t="inlineStr">
        <is>
          <t>YES</t>
        </is>
      </c>
      <c r="M104" s="2" t="inlineStr">
        <is>
          <t>HIGH</t>
        </is>
      </c>
      <c r="N104" s="2" t="inlineStr">
        <is>
          <t>READY</t>
        </is>
      </c>
      <c r="O104" s="3" t="inlineStr"/>
      <c r="P104" s="3" t="inlineStr"/>
      <c r="Q104" s="3" t="inlineStr"/>
      <c r="R104" s="3" t="inlineStr"/>
    </row>
    <row r="105" ht="20" customHeight="1">
      <c r="A105" s="4" t="inlineStr">
        <is>
          <t>ST104</t>
        </is>
      </c>
      <c r="B105" s="5" t="inlineStr">
        <is>
          <t>How to Estimate Category Rank from CRL Rank</t>
        </is>
      </c>
      <c r="C105" s="4" t="inlineStr">
        <is>
          <t>JEE</t>
        </is>
      </c>
      <c r="D105" s="5" t="inlineStr">
        <is>
          <t>Rank</t>
        </is>
      </c>
      <c r="E105" s="4" t="inlineStr">
        <is>
          <t>How-To</t>
        </is>
      </c>
      <c r="F105" s="4" t="inlineStr">
        <is>
          <t>How-To</t>
        </is>
      </c>
      <c r="G105" s="5" t="inlineStr">
        <is>
          <t>how to estimate category rank from crl</t>
        </is>
      </c>
      <c r="H105" s="5" t="inlineStr">
        <is>
          <t>crl to obc rank formula, crl to ews rank calculation, category multiplier jee</t>
        </is>
      </c>
      <c r="I105" s="5" t="inlineStr">
        <is>
          <t>JEE Main Percentile to Rank</t>
        </is>
      </c>
      <c r="J105" s="5" t="inlineStr">
        <is>
          <t>/jee/percentile-to-rank</t>
        </is>
      </c>
      <c r="K105" s="5" t="inlineStr">
        <is>
          <t>Provide historical category distribution multipliers to help students approximate their category rank from estimated CRL rank.</t>
        </is>
      </c>
      <c r="L105" s="4" t="inlineStr">
        <is>
          <t>YES</t>
        </is>
      </c>
      <c r="M105" s="4" t="inlineStr">
        <is>
          <t>MEDIUM</t>
        </is>
      </c>
      <c r="N105" s="4" t="inlineStr">
        <is>
          <t>READY</t>
        </is>
      </c>
      <c r="O105" s="5" t="inlineStr"/>
      <c r="P105" s="5" t="inlineStr"/>
      <c r="Q105" s="5" t="inlineStr"/>
      <c r="R105" s="5" t="inlineStr"/>
    </row>
    <row r="106" ht="20" customHeight="1">
      <c r="A106" s="2" t="inlineStr">
        <is>
          <t>ST105</t>
        </is>
      </c>
      <c r="B106" s="3" t="inlineStr">
        <is>
          <t>What Happens If Two Students Get the Exact Same All India Rank?</t>
        </is>
      </c>
      <c r="C106" s="2" t="inlineStr">
        <is>
          <t>JEE</t>
        </is>
      </c>
      <c r="D106" s="3" t="inlineStr">
        <is>
          <t>Rank</t>
        </is>
      </c>
      <c r="E106" s="2" t="inlineStr">
        <is>
          <t>Explanation</t>
        </is>
      </c>
      <c r="F106" s="2" t="inlineStr">
        <is>
          <t>Educational</t>
        </is>
      </c>
      <c r="G106" s="3" t="inlineStr">
        <is>
          <t>can two students get same rank in jee main</t>
        </is>
      </c>
      <c r="H106" s="3" t="inlineStr">
        <is>
          <t>joint ranks in jee, tie resolution nta, what happens in identical rank</t>
        </is>
      </c>
      <c r="I106" s="3" t="inlineStr">
        <is>
          <t>JEE Main Percentile to Rank</t>
        </is>
      </c>
      <c r="J106" s="3" t="inlineStr">
        <is>
          <t>/jee/percentile-to-rank</t>
        </is>
      </c>
      <c r="K106" s="3" t="inlineStr">
        <is>
          <t>Explain NTA's comprehensive multi-stage tie-breaking rules that ensure distinct serial ranks for virtually all candidates.</t>
        </is>
      </c>
      <c r="L106" s="2" t="inlineStr">
        <is>
          <t>YES</t>
        </is>
      </c>
      <c r="M106" s="2" t="inlineStr">
        <is>
          <t>LOW</t>
        </is>
      </c>
      <c r="N106" s="2" t="inlineStr">
        <is>
          <t>READY</t>
        </is>
      </c>
      <c r="O106" s="3" t="inlineStr"/>
      <c r="P106" s="3" t="inlineStr"/>
      <c r="Q106" s="3" t="inlineStr"/>
      <c r="R106" s="3" t="inlineStr"/>
    </row>
    <row r="107" ht="20" customHeight="1">
      <c r="A107" s="4" t="inlineStr">
        <is>
          <t>ST106</t>
        </is>
      </c>
      <c r="B107" s="5" t="inlineStr">
        <is>
          <t>How Many Marks Are Needed for AIR Under 1,000 in JEE Main?</t>
        </is>
      </c>
      <c r="C107" s="4" t="inlineStr">
        <is>
          <t>JEE</t>
        </is>
      </c>
      <c r="D107" s="5" t="inlineStr">
        <is>
          <t>Rank</t>
        </is>
      </c>
      <c r="E107" s="4" t="inlineStr">
        <is>
          <t>Guide</t>
        </is>
      </c>
      <c r="F107" s="4" t="inlineStr">
        <is>
          <t>Reference</t>
        </is>
      </c>
      <c r="G107" s="5" t="inlineStr">
        <is>
          <t>marks needed for top 1000 rank in jee main</t>
        </is>
      </c>
      <c r="H107" s="5" t="inlineStr">
        <is>
          <t>air 1000 marks jee, 99.9 percentile marks, score for top 1000 rank</t>
        </is>
      </c>
      <c r="I107" s="5" t="inlineStr">
        <is>
          <t>JEE Main Percentile to Rank</t>
        </is>
      </c>
      <c r="J107" s="5" t="inlineStr">
        <is>
          <t>/jee/percentile-to-rank</t>
        </is>
      </c>
      <c r="K107" s="5" t="inlineStr">
        <is>
          <t>Examine historical marks data across shifts showing raw scores typically required (240-270 marks) to crack the top 1,000 AIR barrier.</t>
        </is>
      </c>
      <c r="L107" s="4" t="inlineStr">
        <is>
          <t>YES</t>
        </is>
      </c>
      <c r="M107" s="4" t="inlineStr">
        <is>
          <t>HIGH</t>
        </is>
      </c>
      <c r="N107" s="4" t="inlineStr">
        <is>
          <t>READY</t>
        </is>
      </c>
      <c r="O107" s="5" t="inlineStr"/>
      <c r="P107" s="5" t="inlineStr"/>
      <c r="Q107" s="5" t="inlineStr"/>
      <c r="R107" s="5" t="inlineStr"/>
    </row>
    <row r="108" ht="20" customHeight="1">
      <c r="A108" s="2" t="inlineStr">
        <is>
          <t>ST107</t>
        </is>
      </c>
      <c r="B108" s="3" t="inlineStr">
        <is>
          <t>How Many Marks Are Needed for AIR Under 5,000 in JEE Main?</t>
        </is>
      </c>
      <c r="C108" s="2" t="inlineStr">
        <is>
          <t>JEE</t>
        </is>
      </c>
      <c r="D108" s="3" t="inlineStr">
        <is>
          <t>Rank</t>
        </is>
      </c>
      <c r="E108" s="2" t="inlineStr">
        <is>
          <t>Guide</t>
        </is>
      </c>
      <c r="F108" s="2" t="inlineStr">
        <is>
          <t>Reference</t>
        </is>
      </c>
      <c r="G108" s="3" t="inlineStr">
        <is>
          <t>marks needed for top 5000 rank in jee main</t>
        </is>
      </c>
      <c r="H108" s="3" t="inlineStr">
        <is>
          <t>air 5000 marks jee, 99.6 percentile marks, score for top 5000 rank</t>
        </is>
      </c>
      <c r="I108" s="3" t="inlineStr">
        <is>
          <t>JEE Main Percentile to Rank</t>
        </is>
      </c>
      <c r="J108" s="3" t="inlineStr">
        <is>
          <t>/jee/percentile-to-rank</t>
        </is>
      </c>
      <c r="K108" s="3" t="inlineStr">
        <is>
          <t>Analyze score trends for securing a top 5,000 position across shifts.</t>
        </is>
      </c>
      <c r="L108" s="2" t="inlineStr">
        <is>
          <t>YES</t>
        </is>
      </c>
      <c r="M108" s="2" t="inlineStr">
        <is>
          <t>HIGH</t>
        </is>
      </c>
      <c r="N108" s="2" t="inlineStr">
        <is>
          <t>READY</t>
        </is>
      </c>
      <c r="O108" s="3" t="inlineStr"/>
      <c r="P108" s="3" t="inlineStr"/>
      <c r="Q108" s="3" t="inlineStr"/>
      <c r="R108" s="3" t="inlineStr"/>
    </row>
    <row r="109" ht="20" customHeight="1">
      <c r="A109" s="4" t="inlineStr">
        <is>
          <t>ST108</t>
        </is>
      </c>
      <c r="B109" s="5" t="inlineStr">
        <is>
          <t>How Many Marks Are Needed for AIR Under 10,000 in JEE Main?</t>
        </is>
      </c>
      <c r="C109" s="4" t="inlineStr">
        <is>
          <t>JEE</t>
        </is>
      </c>
      <c r="D109" s="5" t="inlineStr">
        <is>
          <t>Rank</t>
        </is>
      </c>
      <c r="E109" s="4" t="inlineStr">
        <is>
          <t>Guide</t>
        </is>
      </c>
      <c r="F109" s="4" t="inlineStr">
        <is>
          <t>Reference</t>
        </is>
      </c>
      <c r="G109" s="5" t="inlineStr">
        <is>
          <t>marks needed for top 10000 rank in jee main</t>
        </is>
      </c>
      <c r="H109" s="5" t="inlineStr">
        <is>
          <t>air 10000 marks jee main, 99 percentile marks needed, score for 10000 rank</t>
        </is>
      </c>
      <c r="I109" s="5" t="inlineStr">
        <is>
          <t>JEE Main Percentile to Rank</t>
        </is>
      </c>
      <c r="J109" s="5" t="inlineStr">
        <is>
          <t>/jee/percentile-to-rank</t>
        </is>
      </c>
      <c r="K109" s="5" t="inlineStr">
        <is>
          <t>Review required marks (typically 185-215 marks depending on shift difficulty) to secure a sub-10,000 rank ensuring premier NIT seats.</t>
        </is>
      </c>
      <c r="L109" s="4" t="inlineStr">
        <is>
          <t>YES</t>
        </is>
      </c>
      <c r="M109" s="4" t="inlineStr">
        <is>
          <t>HIGH</t>
        </is>
      </c>
      <c r="N109" s="4" t="inlineStr">
        <is>
          <t>READY</t>
        </is>
      </c>
      <c r="O109" s="5" t="inlineStr"/>
      <c r="P109" s="5" t="inlineStr"/>
      <c r="Q109" s="5" t="inlineStr"/>
      <c r="R109" s="5" t="inlineStr"/>
    </row>
    <row r="110" ht="20" customHeight="1">
      <c r="A110" s="2" t="inlineStr">
        <is>
          <t>ST109</t>
        </is>
      </c>
      <c r="B110" s="3" t="inlineStr">
        <is>
          <t>How Many Marks Are Needed for AIR Under 25,000 in JEE Main?</t>
        </is>
      </c>
      <c r="C110" s="2" t="inlineStr">
        <is>
          <t>JEE</t>
        </is>
      </c>
      <c r="D110" s="3" t="inlineStr">
        <is>
          <t>Rank</t>
        </is>
      </c>
      <c r="E110" s="2" t="inlineStr">
        <is>
          <t>Guide</t>
        </is>
      </c>
      <c r="F110" s="2" t="inlineStr">
        <is>
          <t>Reference</t>
        </is>
      </c>
      <c r="G110" s="3" t="inlineStr">
        <is>
          <t>marks needed for top 25000 rank in jee main</t>
        </is>
      </c>
      <c r="H110" s="3" t="inlineStr">
        <is>
          <t>air 25000 marks jee, 98 percentile marks, rank 25000 score</t>
        </is>
      </c>
      <c r="I110" s="3" t="inlineStr">
        <is>
          <t>JEE Main Percentile to Rank</t>
        </is>
      </c>
      <c r="J110" s="3" t="inlineStr">
        <is>
          <t>/jee/percentile-to-rank</t>
        </is>
      </c>
      <c r="K110" s="3" t="inlineStr">
        <is>
          <t>Analyze marks requirements (around 160-185 marks) to secure a top 25k position.</t>
        </is>
      </c>
      <c r="L110" s="2" t="inlineStr">
        <is>
          <t>YES</t>
        </is>
      </c>
      <c r="M110" s="2" t="inlineStr">
        <is>
          <t>HIGH</t>
        </is>
      </c>
      <c r="N110" s="2" t="inlineStr">
        <is>
          <t>READY</t>
        </is>
      </c>
      <c r="O110" s="3" t="inlineStr"/>
      <c r="P110" s="3" t="inlineStr"/>
      <c r="Q110" s="3" t="inlineStr"/>
      <c r="R110" s="3" t="inlineStr"/>
    </row>
    <row r="111" ht="20" customHeight="1">
      <c r="A111" s="4" t="inlineStr">
        <is>
          <t>ST110</t>
        </is>
      </c>
      <c r="B111" s="5" t="inlineStr">
        <is>
          <t>Why Do JEE Main Cutoff Ranks Fluctuate from Round 1 to Round 6 in JoSAA?</t>
        </is>
      </c>
      <c r="C111" s="4" t="inlineStr">
        <is>
          <t>JEE</t>
        </is>
      </c>
      <c r="D111" s="5" t="inlineStr">
        <is>
          <t>Rank</t>
        </is>
      </c>
      <c r="E111" s="4" t="inlineStr">
        <is>
          <t>Explanation</t>
        </is>
      </c>
      <c r="F111" s="4" t="inlineStr">
        <is>
          <t>Educational</t>
        </is>
      </c>
      <c r="G111" s="5" t="inlineStr">
        <is>
          <t>why closing ranks change in josaa rounds</t>
        </is>
      </c>
      <c r="H111" s="5" t="inlineStr">
        <is>
          <t>round 1 vs round 6 cutoff rank, seat acceptance withdrawal, rank drop josaa</t>
        </is>
      </c>
      <c r="I111" s="5" t="inlineStr">
        <is>
          <t>JEE Main Percentile to Rank</t>
        </is>
      </c>
      <c r="J111" s="5" t="inlineStr">
        <is>
          <t>/jee/percentile-to-rank</t>
        </is>
      </c>
      <c r="K111" s="5" t="inlineStr">
        <is>
          <t>Explain the seat upgradation, floating, sliding, and withdrawal mechanics that cause closing ranks to expand across counselling rounds.</t>
        </is>
      </c>
      <c r="L111" s="4" t="inlineStr">
        <is>
          <t>YES</t>
        </is>
      </c>
      <c r="M111" s="4" t="inlineStr">
        <is>
          <t>HIGH</t>
        </is>
      </c>
      <c r="N111" s="4" t="inlineStr">
        <is>
          <t>READY</t>
        </is>
      </c>
      <c r="O111" s="5" t="inlineStr"/>
      <c r="P111" s="5" t="inlineStr"/>
      <c r="Q111" s="5" t="inlineStr"/>
      <c r="R111" s="5" t="inlineStr"/>
    </row>
    <row r="112" ht="20" customHeight="1">
      <c r="A112" s="2" t="inlineStr">
        <is>
          <t>ST111</t>
        </is>
      </c>
      <c r="B112" s="3" t="inlineStr">
        <is>
          <t>How CSAB Special Rounds Extend Closing Ranks Beyond JoSAA</t>
        </is>
      </c>
      <c r="C112" s="2" t="inlineStr">
        <is>
          <t>JEE</t>
        </is>
      </c>
      <c r="D112" s="3" t="inlineStr">
        <is>
          <t>Rank</t>
        </is>
      </c>
      <c r="E112" s="2" t="inlineStr">
        <is>
          <t>Guide</t>
        </is>
      </c>
      <c r="F112" s="2" t="inlineStr">
        <is>
          <t>Reference</t>
        </is>
      </c>
      <c r="G112" s="3" t="inlineStr">
        <is>
          <t>csab special round closing ranks</t>
        </is>
      </c>
      <c r="H112" s="3" t="inlineStr">
        <is>
          <t>csab cutoff vs josaa cutoff, vacant seat counselling nit, csab rank jumps</t>
        </is>
      </c>
      <c r="I112" s="3" t="inlineStr">
        <is>
          <t>JEE Main Percentile to Rank</t>
        </is>
      </c>
      <c r="J112" s="3" t="inlineStr">
        <is>
          <t>/jee/percentile-to-rank</t>
        </is>
      </c>
      <c r="K112" s="3" t="inlineStr">
        <is>
          <t>Explain how vacant seat reconciliation in CSAB Special Rounds allows candidates with ranks 20,000-50,000 spots lower to secure NIT/IIIT seats.</t>
        </is>
      </c>
      <c r="L112" s="2" t="inlineStr">
        <is>
          <t>YES</t>
        </is>
      </c>
      <c r="M112" s="2" t="inlineStr">
        <is>
          <t>HIGH</t>
        </is>
      </c>
      <c r="N112" s="2" t="inlineStr">
        <is>
          <t>READY</t>
        </is>
      </c>
      <c r="O112" s="3" t="inlineStr"/>
      <c r="P112" s="3" t="inlineStr"/>
      <c r="Q112" s="3" t="inlineStr"/>
      <c r="R112" s="3" t="inlineStr"/>
    </row>
    <row r="113" ht="20" customHeight="1">
      <c r="A113" s="4" t="inlineStr">
        <is>
          <t>ST112</t>
        </is>
      </c>
      <c r="B113" s="5" t="inlineStr">
        <is>
          <t>Is It Possible to Get an NIT with 1.5 Lakh Rank in JEE Main?</t>
        </is>
      </c>
      <c r="C113" s="4" t="inlineStr">
        <is>
          <t>JEE</t>
        </is>
      </c>
      <c r="D113" s="5" t="inlineStr">
        <is>
          <t>Rank</t>
        </is>
      </c>
      <c r="E113" s="4" t="inlineStr">
        <is>
          <t>Guide</t>
        </is>
      </c>
      <c r="F113" s="4" t="inlineStr">
        <is>
          <t>Educational</t>
        </is>
      </c>
      <c r="G113" s="5" t="inlineStr">
        <is>
          <t>can i get nit with 1.5 lakh rank</t>
        </is>
      </c>
      <c r="H113" s="5" t="inlineStr">
        <is>
          <t>nit cutoff 150000 rank, home state quota high rank nit, north east nit closing rank</t>
        </is>
      </c>
      <c r="I113" s="5" t="inlineStr">
        <is>
          <t>JEE Main Percentile to Rank</t>
        </is>
      </c>
      <c r="J113" s="5" t="inlineStr">
        <is>
          <t>/jee/percentile-to-rank</t>
        </is>
      </c>
      <c r="K113" s="5" t="inlineStr">
        <is>
          <t>Explore realistic possibilities: Home State quotas in NIT Mizoram, Nagaland, Sikkim, Srinagar, and reserved category openings.</t>
        </is>
      </c>
      <c r="L113" s="4" t="inlineStr">
        <is>
          <t>YES</t>
        </is>
      </c>
      <c r="M113" s="4" t="inlineStr">
        <is>
          <t>HIGH</t>
        </is>
      </c>
      <c r="N113" s="4" t="inlineStr">
        <is>
          <t>READY</t>
        </is>
      </c>
      <c r="O113" s="5" t="inlineStr"/>
      <c r="P113" s="5" t="inlineStr"/>
      <c r="Q113" s="5" t="inlineStr"/>
      <c r="R113" s="5" t="inlineStr"/>
    </row>
    <row r="114" ht="20" customHeight="1">
      <c r="A114" s="2" t="inlineStr">
        <is>
          <t>ST113</t>
        </is>
      </c>
      <c r="B114" s="3" t="inlineStr">
        <is>
          <t>How Does Your JEE Main Rank Affect Non-JoSAA Private College Admissions?</t>
        </is>
      </c>
      <c r="C114" s="2" t="inlineStr">
        <is>
          <t>JEE</t>
        </is>
      </c>
      <c r="D114" s="3" t="inlineStr">
        <is>
          <t>Rank</t>
        </is>
      </c>
      <c r="E114" s="2" t="inlineStr">
        <is>
          <t>Guide</t>
        </is>
      </c>
      <c r="F114" s="2" t="inlineStr">
        <is>
          <t>Informational</t>
        </is>
      </c>
      <c r="G114" s="3" t="inlineStr">
        <is>
          <t>private colleges accepting jee main rank</t>
        </is>
      </c>
      <c r="H114" s="3" t="inlineStr">
        <is>
          <t>thapar lnmiit jee rank, da-iict jee cutoff, nirf top private colleges jee score</t>
        </is>
      </c>
      <c r="I114" s="3" t="inlineStr">
        <is>
          <t>JEE Main Percentile to Rank</t>
        </is>
      </c>
      <c r="J114" s="3" t="inlineStr">
        <is>
          <t>/jee/percentile-to-rank</t>
        </is>
      </c>
      <c r="K114" s="3" t="inlineStr">
        <is>
          <t>Review premier private universities (Thapar, LNMIIT, DA-IICT, Jaypee, Nirma) that allocate substantial seat shares through JEE Main CRL.</t>
        </is>
      </c>
      <c r="L114" s="2" t="inlineStr">
        <is>
          <t>YES</t>
        </is>
      </c>
      <c r="M114" s="2" t="inlineStr">
        <is>
          <t>MEDIUM</t>
        </is>
      </c>
      <c r="N114" s="2" t="inlineStr">
        <is>
          <t>READY</t>
        </is>
      </c>
      <c r="O114" s="3" t="inlineStr"/>
      <c r="P114" s="3" t="inlineStr"/>
      <c r="Q114" s="3" t="inlineStr"/>
      <c r="R114" s="3" t="inlineStr"/>
    </row>
    <row r="115" ht="20" customHeight="1">
      <c r="A115" s="4" t="inlineStr">
        <is>
          <t>ST114</t>
        </is>
      </c>
      <c r="B115" s="5" t="inlineStr">
        <is>
          <t>Understanding the Impact of 12th Board Top 20 Percentile on Rank Validity</t>
        </is>
      </c>
      <c r="C115" s="4" t="inlineStr">
        <is>
          <t>JEE</t>
        </is>
      </c>
      <c r="D115" s="5" t="inlineStr">
        <is>
          <t>Rank</t>
        </is>
      </c>
      <c r="E115" s="4" t="inlineStr">
        <is>
          <t>Explanation</t>
        </is>
      </c>
      <c r="F115" s="4" t="inlineStr">
        <is>
          <t>Reference</t>
        </is>
      </c>
      <c r="G115" s="5" t="inlineStr">
        <is>
          <t>75 percent criteria vs top 20 percentile</t>
        </is>
      </c>
      <c r="H115" s="5" t="inlineStr">
        <is>
          <t>12th board eligibility for nit iit, top 20 percentile state board cutoff, board marks rank condition</t>
        </is>
      </c>
      <c r="I115" s="5" t="inlineStr">
        <is>
          <t>JEE Main Percentile to Rank</t>
        </is>
      </c>
      <c r="J115" s="5" t="inlineStr">
        <is>
          <t>/jee/percentile-to-rank</t>
        </is>
      </c>
      <c r="K115" s="5" t="inlineStr">
        <is>
          <t>Explain the mandatory 75% aggregate marks (or top 20 percentile in respective 12th board) prerequisite for JEE Main rank-based admissions.</t>
        </is>
      </c>
      <c r="L115" s="4" t="inlineStr">
        <is>
          <t>YES</t>
        </is>
      </c>
      <c r="M115" s="4" t="inlineStr">
        <is>
          <t>HIGH</t>
        </is>
      </c>
      <c r="N115" s="4" t="inlineStr">
        <is>
          <t>READY</t>
        </is>
      </c>
      <c r="O115" s="5" t="inlineStr"/>
      <c r="P115" s="5" t="inlineStr"/>
      <c r="Q115" s="5" t="inlineStr"/>
      <c r="R115" s="5" t="inlineStr"/>
    </row>
    <row r="116" ht="20" customHeight="1">
      <c r="A116" s="2" t="inlineStr">
        <is>
          <t>ST115</t>
        </is>
      </c>
      <c r="B116" s="3" t="inlineStr">
        <is>
          <t>How to Track Rank Trends Over the Last 5 Years for Your Dream Branch</t>
        </is>
      </c>
      <c r="C116" s="2" t="inlineStr">
        <is>
          <t>JEE</t>
        </is>
      </c>
      <c r="D116" s="3" t="inlineStr">
        <is>
          <t>Rank</t>
        </is>
      </c>
      <c r="E116" s="2" t="inlineStr">
        <is>
          <t>How-To</t>
        </is>
      </c>
      <c r="F116" s="2" t="inlineStr">
        <is>
          <t>How-To</t>
        </is>
      </c>
      <c r="G116" s="3" t="inlineStr">
        <is>
          <t>how to analyze previous year josaa cutoffs</t>
        </is>
      </c>
      <c r="H116" s="3" t="inlineStr">
        <is>
          <t>tracking closing rank trends, branch popularity trends, josaa historical cutoffs</t>
        </is>
      </c>
      <c r="I116" s="3" t="inlineStr">
        <is>
          <t>JEE Main Percentile to Rank</t>
        </is>
      </c>
      <c r="J116" s="3" t="inlineStr">
        <is>
          <t>/jee/percentile-to-rank</t>
        </is>
      </c>
      <c r="K116" s="3" t="inlineStr">
        <is>
          <t>Step-by-step guide to downloading and charting JoSAA archival data to spot stable vs fluctuating closing rank patterns.</t>
        </is>
      </c>
      <c r="L116" s="2" t="inlineStr">
        <is>
          <t>YES</t>
        </is>
      </c>
      <c r="M116" s="2" t="inlineStr">
        <is>
          <t>MEDIUM</t>
        </is>
      </c>
      <c r="N116" s="2" t="inlineStr">
        <is>
          <t>READY</t>
        </is>
      </c>
      <c r="O116" s="3" t="inlineStr"/>
      <c r="P116" s="3" t="inlineStr"/>
      <c r="Q116" s="3" t="inlineStr"/>
      <c r="R116" s="3" t="inlineStr"/>
    </row>
    <row r="117" ht="20" customHeight="1">
      <c r="A117" s="4" t="inlineStr">
        <is>
          <t>ST116</t>
        </is>
      </c>
      <c r="B117" s="5" t="inlineStr">
        <is>
          <t>What Does a 5-Digit vs 6-Digit Rank Mean for Indian Engineering Aspirants?</t>
        </is>
      </c>
      <c r="C117" s="4" t="inlineStr">
        <is>
          <t>JEE</t>
        </is>
      </c>
      <c r="D117" s="5" t="inlineStr">
        <is>
          <t>Rank</t>
        </is>
      </c>
      <c r="E117" s="4" t="inlineStr">
        <is>
          <t>Explanation</t>
        </is>
      </c>
      <c r="F117" s="4" t="inlineStr">
        <is>
          <t>Educational</t>
        </is>
      </c>
      <c r="G117" s="5" t="inlineStr">
        <is>
          <t>5 digit vs 6 digit rank in jee main</t>
        </is>
      </c>
      <c r="H117" s="5" t="inlineStr">
        <is>
          <t>engineering college options by rank tier, under 50000 rank vs over 1 lakh rank, career planning jee rank</t>
        </is>
      </c>
      <c r="I117" s="5" t="inlineStr">
        <is>
          <t>JEE Main Percentile to Rank</t>
        </is>
      </c>
      <c r="J117" s="5" t="inlineStr">
        <is>
          <t>/jee/percentile-to-rank</t>
        </is>
      </c>
      <c r="K117" s="5" t="inlineStr">
        <is>
          <t>A candid structural overview of Indian engineering college tiers mapped to sub-10k, 10k-50k, 50k-100k, and 100k+ rank segments.</t>
        </is>
      </c>
      <c r="L117" s="4" t="inlineStr">
        <is>
          <t>YES</t>
        </is>
      </c>
      <c r="M117" s="4" t="inlineStr">
        <is>
          <t>MEDIUM</t>
        </is>
      </c>
      <c r="N117" s="4" t="inlineStr">
        <is>
          <t>READY</t>
        </is>
      </c>
      <c r="O117" s="5" t="inlineStr"/>
      <c r="P117" s="5" t="inlineStr"/>
      <c r="Q117" s="5" t="inlineStr"/>
      <c r="R117" s="5" t="inlineStr"/>
    </row>
    <row r="118" ht="20" customHeight="1">
      <c r="A118" s="2" t="inlineStr">
        <is>
          <t>ST117</t>
        </is>
      </c>
      <c r="B118" s="3" t="inlineStr">
        <is>
          <t>How to Estimate Rank If Only Shift Marks and Unofficial Key Are Known</t>
        </is>
      </c>
      <c r="C118" s="2" t="inlineStr">
        <is>
          <t>JEE</t>
        </is>
      </c>
      <c r="D118" s="3" t="inlineStr">
        <is>
          <t>Rank</t>
        </is>
      </c>
      <c r="E118" s="2" t="inlineStr">
        <is>
          <t>Guide</t>
        </is>
      </c>
      <c r="F118" s="2" t="inlineStr">
        <is>
          <t>How-To</t>
        </is>
      </c>
      <c r="G118" s="3" t="inlineStr">
        <is>
          <t>estimate rank before jee main result</t>
        </is>
      </c>
      <c r="H118" s="3" t="inlineStr">
        <is>
          <t>rough rank estimation from marks, shift difficulty rank prediction, early rank calculation</t>
        </is>
      </c>
      <c r="I118" s="3" t="inlineStr">
        <is>
          <t>JEE Main Percentile to Rank</t>
        </is>
      </c>
      <c r="J118" s="3" t="inlineStr">
        <is>
          <t>/jee/percentile-to-rank</t>
        </is>
      </c>
      <c r="K118" s="3" t="inlineStr">
        <is>
          <t>A 3-step synthesis: calculate raw score with Marks Calculator -&gt; map to percentile with Estimator -&gt; convert to estimated CRL rank.</t>
        </is>
      </c>
      <c r="L118" s="2" t="inlineStr">
        <is>
          <t>YES</t>
        </is>
      </c>
      <c r="M118" s="2" t="inlineStr">
        <is>
          <t>HIGH</t>
        </is>
      </c>
      <c r="N118" s="2" t="inlineStr">
        <is>
          <t>READY</t>
        </is>
      </c>
      <c r="O118" s="3" t="inlineStr"/>
      <c r="P118" s="3" t="inlineStr"/>
      <c r="Q118" s="3" t="inlineStr"/>
      <c r="R118" s="3" t="inlineStr"/>
    </row>
    <row r="119" ht="20" customHeight="1">
      <c r="A119" s="4" t="inlineStr">
        <is>
          <t>ST118</t>
        </is>
      </c>
      <c r="B119" s="5" t="inlineStr">
        <is>
          <t>Evaluating Closing Rank Jumps Between Core Branches and CSE</t>
        </is>
      </c>
      <c r="C119" s="4" t="inlineStr">
        <is>
          <t>JEE</t>
        </is>
      </c>
      <c r="D119" s="5" t="inlineStr">
        <is>
          <t>Rank</t>
        </is>
      </c>
      <c r="E119" s="4" t="inlineStr">
        <is>
          <t>Comparison</t>
        </is>
      </c>
      <c r="F119" s="4" t="inlineStr">
        <is>
          <t>Educational</t>
        </is>
      </c>
      <c r="G119" s="5" t="inlineStr">
        <is>
          <t>cse vs core branch closing rank gap</t>
        </is>
      </c>
      <c r="H119" s="5" t="inlineStr">
        <is>
          <t>rank difference cse mechanical, branch preference impact rank, engineering cutoff disparity</t>
        </is>
      </c>
      <c r="I119" s="5" t="inlineStr">
        <is>
          <t>JEE Main Percentile to Rank</t>
        </is>
      </c>
      <c r="J119" s="5" t="inlineStr">
        <is>
          <t>/jee/percentile-to-rank</t>
        </is>
      </c>
      <c r="K119" s="5" t="inlineStr">
        <is>
          <t>Analyze why CSE closing ranks are often 5x to 8x stricter than Civil or Metallurgy within the exact same top-tier NIT.</t>
        </is>
      </c>
      <c r="L119" s="4" t="inlineStr">
        <is>
          <t>YES</t>
        </is>
      </c>
      <c r="M119" s="4" t="inlineStr">
        <is>
          <t>MEDIUM</t>
        </is>
      </c>
      <c r="N119" s="4" t="inlineStr">
        <is>
          <t>READY</t>
        </is>
      </c>
      <c r="O119" s="5" t="inlineStr"/>
      <c r="P119" s="5" t="inlineStr"/>
      <c r="Q119" s="5" t="inlineStr"/>
      <c r="R119" s="5" t="inlineStr"/>
    </row>
    <row r="120" ht="20" customHeight="1">
      <c r="A120" s="2" t="inlineStr">
        <is>
          <t>ST119</t>
        </is>
      </c>
      <c r="B120" s="3" t="inlineStr">
        <is>
          <t>How Do Candidate Dropouts Before JoSAA Round 1 Alter Rank Competitiveness?</t>
        </is>
      </c>
      <c r="C120" s="2" t="inlineStr">
        <is>
          <t>JEE</t>
        </is>
      </c>
      <c r="D120" s="3" t="inlineStr">
        <is>
          <t>Rank</t>
        </is>
      </c>
      <c r="E120" s="2" t="inlineStr">
        <is>
          <t>Explanation</t>
        </is>
      </c>
      <c r="F120" s="2" t="inlineStr">
        <is>
          <t>Informational</t>
        </is>
      </c>
      <c r="G120" s="3" t="inlineStr">
        <is>
          <t>dropouts before josaa counselling</t>
        </is>
      </c>
      <c r="H120" s="3" t="inlineStr">
        <is>
          <t>bitsat foreign admissions dropouts, candidate withdrawal effect, effective rank competition</t>
        </is>
      </c>
      <c r="I120" s="3" t="inlineStr">
        <is>
          <t>JEE Main Percentile to Rank</t>
        </is>
      </c>
      <c r="J120" s="3" t="inlineStr">
        <is>
          <t>/jee/percentile-to-rank</t>
        </is>
      </c>
      <c r="K120" s="3" t="inlineStr">
        <is>
          <t>Examine how high-scoring candidates opting for BITS Pilani, IISc, or international universities ease competition in JoSAA.</t>
        </is>
      </c>
      <c r="L120" s="2" t="inlineStr">
        <is>
          <t>YES</t>
        </is>
      </c>
      <c r="M120" s="2" t="inlineStr">
        <is>
          <t>LOW</t>
        </is>
      </c>
      <c r="N120" s="2" t="inlineStr">
        <is>
          <t>READY</t>
        </is>
      </c>
      <c r="O120" s="3" t="inlineStr"/>
      <c r="P120" s="3" t="inlineStr"/>
      <c r="Q120" s="3" t="inlineStr"/>
      <c r="R120" s="3" t="inlineStr"/>
    </row>
    <row r="121" ht="20" customHeight="1">
      <c r="A121" s="4" t="inlineStr">
        <is>
          <t>ST120</t>
        </is>
      </c>
      <c r="B121" s="5" t="inlineStr">
        <is>
          <t>What CRL Rank Is Required for Mechanical Engineering in Top 10 NITs?</t>
        </is>
      </c>
      <c r="C121" s="4" t="inlineStr">
        <is>
          <t>JEE</t>
        </is>
      </c>
      <c r="D121" s="5" t="inlineStr">
        <is>
          <t>Rank</t>
        </is>
      </c>
      <c r="E121" s="4" t="inlineStr">
        <is>
          <t>Guide</t>
        </is>
      </c>
      <c r="F121" s="4" t="inlineStr">
        <is>
          <t>Reference</t>
        </is>
      </c>
      <c r="G121" s="5" t="inlineStr">
        <is>
          <t>mechanical engineering rank in top 10 nits</t>
        </is>
      </c>
      <c r="H121" s="5" t="inlineStr">
        <is>
          <t>nit mechanical closing rank general, mechanical cutoff trichy warangal, safe rank for mechanical</t>
        </is>
      </c>
      <c r="I121" s="5" t="inlineStr">
        <is>
          <t>JEE Main Percentile to Rank</t>
        </is>
      </c>
      <c r="J121" s="5" t="inlineStr">
        <is>
          <t>/jee/percentile-to-rank</t>
        </is>
      </c>
      <c r="K121" s="5" t="inlineStr">
        <is>
          <t>Review closing ranks ranging from AIR 12,000 at top NITs to AIR 35,000 at mid-tier institutes across categories.</t>
        </is>
      </c>
      <c r="L121" s="4" t="inlineStr">
        <is>
          <t>YES</t>
        </is>
      </c>
      <c r="M121" s="4" t="inlineStr">
        <is>
          <t>MEDIUM</t>
        </is>
      </c>
      <c r="N121" s="4" t="inlineStr">
        <is>
          <t>READY</t>
        </is>
      </c>
      <c r="O121" s="5" t="inlineStr"/>
      <c r="P121" s="5" t="inlineStr"/>
      <c r="Q121" s="5" t="inlineStr"/>
      <c r="R121" s="5" t="inlineStr"/>
    </row>
    <row r="122" ht="20" customHeight="1">
      <c r="A122" s="2" t="inlineStr">
        <is>
          <t>ST121</t>
        </is>
      </c>
      <c r="B122" s="3" t="inlineStr">
        <is>
          <t>How JoSAA Counselling Works: Step-by-Step Registration and Choice Filling Guide</t>
        </is>
      </c>
      <c r="C122" s="2" t="inlineStr">
        <is>
          <t>JEE</t>
        </is>
      </c>
      <c r="D122" s="3" t="inlineStr">
        <is>
          <t>College Prediction</t>
        </is>
      </c>
      <c r="E122" s="2" t="inlineStr">
        <is>
          <t>Guide</t>
        </is>
      </c>
      <c r="F122" s="2" t="inlineStr">
        <is>
          <t>How-To</t>
        </is>
      </c>
      <c r="G122" s="3" t="inlineStr">
        <is>
          <t>how josaa counselling works</t>
        </is>
      </c>
      <c r="H122" s="3" t="inlineStr">
        <is>
          <t>josaa choice filling process, seat allocation procedure, josaa registration steps</t>
        </is>
      </c>
      <c r="I122" s="3" t="inlineStr">
        <is>
          <t>JEE College Predictor</t>
        </is>
      </c>
      <c r="J122" s="3" t="inlineStr">
        <is>
          <t>/jee/college-predictor</t>
        </is>
      </c>
      <c r="K122" s="3" t="inlineStr">
        <is>
          <t>Comprehensive walkthrough of JoSAA timeline, choice locking rules, mock seat allocations, document verification, and seat acceptance fee.</t>
        </is>
      </c>
      <c r="L122" s="2" t="inlineStr">
        <is>
          <t>YES</t>
        </is>
      </c>
      <c r="M122" s="2" t="inlineStr">
        <is>
          <t>HIGH</t>
        </is>
      </c>
      <c r="N122" s="2" t="inlineStr">
        <is>
          <t>READY</t>
        </is>
      </c>
      <c r="O122" s="3" t="inlineStr"/>
      <c r="P122" s="3" t="inlineStr"/>
      <c r="Q122" s="3" t="inlineStr"/>
      <c r="R122" s="3" t="inlineStr"/>
    </row>
    <row r="123" ht="20" customHeight="1">
      <c r="A123" s="4" t="inlineStr">
        <is>
          <t>ST122</t>
        </is>
      </c>
      <c r="B123" s="5" t="inlineStr">
        <is>
          <t>Home State Quota vs Other State Quota in NITs: Complete Eligibility and Cutoff Rules</t>
        </is>
      </c>
      <c r="C123" s="4" t="inlineStr">
        <is>
          <t>JEE</t>
        </is>
      </c>
      <c r="D123" s="5" t="inlineStr">
        <is>
          <t>College Prediction</t>
        </is>
      </c>
      <c r="E123" s="4" t="inlineStr">
        <is>
          <t>Explanation</t>
        </is>
      </c>
      <c r="F123" s="4" t="inlineStr">
        <is>
          <t>Educational</t>
        </is>
      </c>
      <c r="G123" s="5" t="inlineStr">
        <is>
          <t>home state quota vs other state quota nits</t>
        </is>
      </c>
      <c r="H123" s="5" t="inlineStr">
        <is>
          <t>nit home state eligibility, 50 percent quota in nits, hs vs os closing ranks</t>
        </is>
      </c>
      <c r="I123" s="5" t="inlineStr">
        <is>
          <t>JEE Cutoff Explorer</t>
        </is>
      </c>
      <c r="J123" s="5" t="inlineStr">
        <is>
          <t>/jee/cutoff</t>
        </is>
      </c>
      <c r="K123" s="5" t="inlineStr">
        <is>
          <t>Explain the 50% reservation for candidates who completed Class 12 in the state where the NIT is located, comparing HS and OS closing ranks.</t>
        </is>
      </c>
      <c r="L123" s="4" t="inlineStr">
        <is>
          <t>YES</t>
        </is>
      </c>
      <c r="M123" s="4" t="inlineStr">
        <is>
          <t>HIGH</t>
        </is>
      </c>
      <c r="N123" s="4" t="inlineStr">
        <is>
          <t>READY</t>
        </is>
      </c>
      <c r="O123" s="5" t="inlineStr"/>
      <c r="P123" s="5" t="inlineStr"/>
      <c r="Q123" s="5" t="inlineStr"/>
      <c r="R123" s="5" t="inlineStr"/>
    </row>
    <row r="124" ht="20" customHeight="1">
      <c r="A124" s="2" t="inlineStr">
        <is>
          <t>ST123</t>
        </is>
      </c>
      <c r="B124" s="3" t="inlineStr">
        <is>
          <t>Opening Rank vs Closing Rank: What Do They Actually Mean in JoSAA?</t>
        </is>
      </c>
      <c r="C124" s="2" t="inlineStr">
        <is>
          <t>JEE</t>
        </is>
      </c>
      <c r="D124" s="3" t="inlineStr">
        <is>
          <t>College Prediction</t>
        </is>
      </c>
      <c r="E124" s="2" t="inlineStr">
        <is>
          <t>Explanation</t>
        </is>
      </c>
      <c r="F124" s="2" t="inlineStr">
        <is>
          <t>Educational</t>
        </is>
      </c>
      <c r="G124" s="3" t="inlineStr">
        <is>
          <t>opening rank vs closing rank josaa</t>
        </is>
      </c>
      <c r="H124" s="3" t="inlineStr">
        <is>
          <t>meaning of closing rank, josaa opening closing ranks explained, cutoff interpretation</t>
        </is>
      </c>
      <c r="I124" s="3" t="inlineStr">
        <is>
          <t>JEE Cutoff Explorer</t>
        </is>
      </c>
      <c r="J124" s="3" t="inlineStr">
        <is>
          <t>/jee/cutoff</t>
        </is>
      </c>
      <c r="K124" s="3" t="inlineStr">
        <is>
          <t>Explain that Opening Rank represents the highest-scoring candidate admitted, while Closing Rank represents the final candidate admitted to that branch.</t>
        </is>
      </c>
      <c r="L124" s="2" t="inlineStr">
        <is>
          <t>YES</t>
        </is>
      </c>
      <c r="M124" s="2" t="inlineStr">
        <is>
          <t>HIGH</t>
        </is>
      </c>
      <c r="N124" s="2" t="inlineStr">
        <is>
          <t>READY</t>
        </is>
      </c>
      <c r="O124" s="3" t="inlineStr"/>
      <c r="P124" s="3" t="inlineStr"/>
      <c r="Q124" s="3" t="inlineStr"/>
      <c r="R124" s="3" t="inlineStr"/>
    </row>
    <row r="125" ht="20" customHeight="1">
      <c r="A125" s="4" t="inlineStr">
        <is>
          <t>ST124</t>
        </is>
      </c>
      <c r="B125" s="5" t="inlineStr">
        <is>
          <t>Difference Between Freeze, Float, and Slide in JoSAA Seat Allocation</t>
        </is>
      </c>
      <c r="C125" s="4" t="inlineStr">
        <is>
          <t>JEE</t>
        </is>
      </c>
      <c r="D125" s="5" t="inlineStr">
        <is>
          <t>College Prediction</t>
        </is>
      </c>
      <c r="E125" s="4" t="inlineStr">
        <is>
          <t>Comparison</t>
        </is>
      </c>
      <c r="F125" s="4" t="inlineStr">
        <is>
          <t>Educational</t>
        </is>
      </c>
      <c r="G125" s="5" t="inlineStr">
        <is>
          <t>freeze float slide in josaa</t>
        </is>
      </c>
      <c r="H125" s="5" t="inlineStr">
        <is>
          <t>josaa seat options explained, what is float option, when to use slide option</t>
        </is>
      </c>
      <c r="I125" s="5" t="inlineStr">
        <is>
          <t>JEE College Predictor</t>
        </is>
      </c>
      <c r="J125" s="5" t="inlineStr">
        <is>
          <t>/jee/college-predictor</t>
        </is>
      </c>
      <c r="K125" s="5" t="inlineStr">
        <is>
          <t>Clear functional guide on what happens when you select Freeze (accept &amp; exit), Float (accept &amp; upgrade anywhere), or Slide (upgrade within same institute).</t>
        </is>
      </c>
      <c r="L125" s="4" t="inlineStr">
        <is>
          <t>YES</t>
        </is>
      </c>
      <c r="M125" s="4" t="inlineStr">
        <is>
          <t>HIGH</t>
        </is>
      </c>
      <c r="N125" s="4" t="inlineStr">
        <is>
          <t>READY</t>
        </is>
      </c>
      <c r="O125" s="5" t="inlineStr"/>
      <c r="P125" s="5" t="inlineStr"/>
      <c r="Q125" s="5" t="inlineStr"/>
      <c r="R125" s="5" t="inlineStr"/>
    </row>
    <row r="126" ht="20" customHeight="1">
      <c r="A126" s="2" t="inlineStr">
        <is>
          <t>ST125</t>
        </is>
      </c>
      <c r="B126" s="3" t="inlineStr">
        <is>
          <t>How to Use a JEE College Predictor Effectively: Avoiding Common Pitfalls</t>
        </is>
      </c>
      <c r="C126" s="2" t="inlineStr">
        <is>
          <t>JEE</t>
        </is>
      </c>
      <c r="D126" s="3" t="inlineStr">
        <is>
          <t>College Prediction</t>
        </is>
      </c>
      <c r="E126" s="2" t="inlineStr">
        <is>
          <t>Calculator Guide</t>
        </is>
      </c>
      <c r="F126" s="2" t="inlineStr">
        <is>
          <t>Calculator</t>
        </is>
      </c>
      <c r="G126" s="3" t="inlineStr">
        <is>
          <t>how to use jee college predictor</t>
        </is>
      </c>
      <c r="H126" s="3" t="inlineStr">
        <is>
          <t>predicting engineering colleges, college predictor tool studenttools, accurate college prediction</t>
        </is>
      </c>
      <c r="I126" s="3" t="inlineStr">
        <is>
          <t>JEE College Predictor</t>
        </is>
      </c>
      <c r="J126" s="3" t="inlineStr">
        <is>
          <t>/jee/college-predictor</t>
        </is>
      </c>
      <c r="K126" s="3" t="inlineStr">
        <is>
          <t>Guide users on filtering by category, home state, gender pool, and understanding statistical probability bands rather than taking predictions as guarantees.</t>
        </is>
      </c>
      <c r="L126" s="2" t="inlineStr">
        <is>
          <t>YES</t>
        </is>
      </c>
      <c r="M126" s="2" t="inlineStr">
        <is>
          <t>HIGH</t>
        </is>
      </c>
      <c r="N126" s="2" t="inlineStr">
        <is>
          <t>READY</t>
        </is>
      </c>
      <c r="O126" s="3" t="inlineStr"/>
      <c r="P126" s="3" t="inlineStr"/>
      <c r="Q126" s="3" t="inlineStr"/>
      <c r="R126" s="3" t="inlineStr"/>
    </row>
    <row r="127" ht="20" customHeight="1">
      <c r="A127" s="4" t="inlineStr">
        <is>
          <t>ST126</t>
        </is>
      </c>
      <c r="B127" s="5" t="inlineStr">
        <is>
          <t>Top NITs vs New IIITs: Which One Should You Choose for Computer Science?</t>
        </is>
      </c>
      <c r="C127" s="4" t="inlineStr">
        <is>
          <t>JEE</t>
        </is>
      </c>
      <c r="D127" s="5" t="inlineStr">
        <is>
          <t>College Prediction</t>
        </is>
      </c>
      <c r="E127" s="4" t="inlineStr">
        <is>
          <t>Comparison</t>
        </is>
      </c>
      <c r="F127" s="4" t="inlineStr">
        <is>
          <t>Comparison</t>
        </is>
      </c>
      <c r="G127" s="5" t="inlineStr">
        <is>
          <t>top nits vs new iiits for cse</t>
        </is>
      </c>
      <c r="H127" s="5" t="inlineStr">
        <is>
          <t>nit vs iiit placement, iiit cse cutoff vs nit cse, choosing between nit and iiit</t>
        </is>
      </c>
      <c r="I127" s="5" t="inlineStr">
        <is>
          <t>JEE College Predictor</t>
        </is>
      </c>
      <c r="J127" s="5" t="inlineStr">
        <is>
          <t>/jee/college-predictor</t>
        </is>
      </c>
      <c r="K127" s="5" t="inlineStr">
        <is>
          <t>Compare infrastructure, curriculum focus (specialized IT vs comprehensive university), placement statistics, fee structures, and campus life.</t>
        </is>
      </c>
      <c r="L127" s="4" t="inlineStr">
        <is>
          <t>YES</t>
        </is>
      </c>
      <c r="M127" s="4" t="inlineStr">
        <is>
          <t>HIGH</t>
        </is>
      </c>
      <c r="N127" s="4" t="inlineStr">
        <is>
          <t>READY</t>
        </is>
      </c>
      <c r="O127" s="5" t="inlineStr"/>
      <c r="P127" s="5" t="inlineStr"/>
      <c r="Q127" s="5" t="inlineStr"/>
      <c r="R127" s="5" t="inlineStr"/>
    </row>
    <row r="128" ht="20" customHeight="1">
      <c r="A128" s="2" t="inlineStr">
        <is>
          <t>ST127</t>
        </is>
      </c>
      <c r="B128" s="3" t="inlineStr">
        <is>
          <t>Government Funded Technical Institutes (GFTIs): Cutoffs, Fees, and Quality Review</t>
        </is>
      </c>
      <c r="C128" s="2" t="inlineStr">
        <is>
          <t>JEE</t>
        </is>
      </c>
      <c r="D128" s="3" t="inlineStr">
        <is>
          <t>College Prediction</t>
        </is>
      </c>
      <c r="E128" s="2" t="inlineStr">
        <is>
          <t>Guide</t>
        </is>
      </c>
      <c r="F128" s="2" t="inlineStr">
        <is>
          <t>Reference</t>
        </is>
      </c>
      <c r="G128" s="3" t="inlineStr">
        <is>
          <t>gfti colleges through jee main</t>
        </is>
      </c>
      <c r="H128" s="3" t="inlineStr">
        <is>
          <t>gfti list josaa, gfti cutoffs and placements, are gftis worth joining</t>
        </is>
      </c>
      <c r="I128" s="3" t="inlineStr">
        <is>
          <t>JEE Cutoff Explorer</t>
        </is>
      </c>
      <c r="J128" s="3" t="inlineStr">
        <is>
          <t>/jee/cutoff</t>
        </is>
      </c>
      <c r="K128" s="3" t="inlineStr">
        <is>
          <t>Overview of prominent GFTIs (PEC Chandigarh, BIT Mesra, IIEST Shibpur, JNU SE) with closing rank ranges, fee structures, and return on investment.</t>
        </is>
      </c>
      <c r="L128" s="2" t="inlineStr">
        <is>
          <t>YES</t>
        </is>
      </c>
      <c r="M128" s="2" t="inlineStr">
        <is>
          <t>HIGH</t>
        </is>
      </c>
      <c r="N128" s="2" t="inlineStr">
        <is>
          <t>READY</t>
        </is>
      </c>
      <c r="O128" s="3" t="inlineStr"/>
      <c r="P128" s="3" t="inlineStr"/>
      <c r="Q128" s="3" t="inlineStr"/>
      <c r="R128" s="3" t="inlineStr"/>
    </row>
    <row r="129" ht="20" customHeight="1">
      <c r="A129" s="4" t="inlineStr">
        <is>
          <t>ST128</t>
        </is>
      </c>
      <c r="B129" s="5" t="inlineStr">
        <is>
          <t>Computer Science vs Information Technology in NITs: Syllabus and Cutoff Comparison</t>
        </is>
      </c>
      <c r="C129" s="4" t="inlineStr">
        <is>
          <t>JEE</t>
        </is>
      </c>
      <c r="D129" s="5" t="inlineStr">
        <is>
          <t>College Prediction</t>
        </is>
      </c>
      <c r="E129" s="4" t="inlineStr">
        <is>
          <t>Comparison</t>
        </is>
      </c>
      <c r="F129" s="4" t="inlineStr">
        <is>
          <t>Comparison</t>
        </is>
      </c>
      <c r="G129" s="5" t="inlineStr">
        <is>
          <t>cse vs it in nits</t>
        </is>
      </c>
      <c r="H129" s="5" t="inlineStr">
        <is>
          <t>difference between cse and it engineering, cse vs it cutoffs, placement difference cse it</t>
        </is>
      </c>
      <c r="I129" s="5" t="inlineStr">
        <is>
          <t>JEE College Predictor</t>
        </is>
      </c>
      <c r="J129" s="5" t="inlineStr">
        <is>
          <t>/jee/college-predictor</t>
        </is>
      </c>
      <c r="K129" s="5" t="inlineStr">
        <is>
          <t>Compare academic curriculum, elective overlap, career opportunities, and historical closing rank differences between CSE and IT branches.</t>
        </is>
      </c>
      <c r="L129" s="4" t="inlineStr">
        <is>
          <t>YES</t>
        </is>
      </c>
      <c r="M129" s="4" t="inlineStr">
        <is>
          <t>HIGH</t>
        </is>
      </c>
      <c r="N129" s="4" t="inlineStr">
        <is>
          <t>READY</t>
        </is>
      </c>
      <c r="O129" s="5" t="inlineStr"/>
      <c r="P129" s="5" t="inlineStr"/>
      <c r="Q129" s="5" t="inlineStr"/>
      <c r="R129" s="5" t="inlineStr"/>
    </row>
    <row r="130" ht="20" customHeight="1">
      <c r="A130" s="2" t="inlineStr">
        <is>
          <t>ST129</t>
        </is>
      </c>
      <c r="B130" s="3" t="inlineStr">
        <is>
          <t>Artificial Intelligence and Data Science Branches in NITs: Cutoffs and Value</t>
        </is>
      </c>
      <c r="C130" s="2" t="inlineStr">
        <is>
          <t>JEE</t>
        </is>
      </c>
      <c r="D130" s="3" t="inlineStr">
        <is>
          <t>College Prediction</t>
        </is>
      </c>
      <c r="E130" s="2" t="inlineStr">
        <is>
          <t>Guide</t>
        </is>
      </c>
      <c r="F130" s="2" t="inlineStr">
        <is>
          <t>Educational</t>
        </is>
      </c>
      <c r="G130" s="3" t="inlineStr">
        <is>
          <t>ai and data science in nits cutoff</t>
        </is>
      </c>
      <c r="H130" s="3" t="inlineStr">
        <is>
          <t>ai ds engineering cutoff, artificial intelligence branch closing rank, is ai branch good in nit</t>
        </is>
      </c>
      <c r="I130" s="3" t="inlineStr">
        <is>
          <t>JEE Cutoff Explorer</t>
        </is>
      </c>
      <c r="J130" s="3" t="inlineStr">
        <is>
          <t>/jee/cutoff</t>
        </is>
      </c>
      <c r="K130" s="3" t="inlineStr">
        <is>
          <t>Analyze emerging specialized AI/DS branches in NITs and IIITs, evaluating curriculum structure and placement outcomes vs traditional CSE.</t>
        </is>
      </c>
      <c r="L130" s="2" t="inlineStr">
        <is>
          <t>YES</t>
        </is>
      </c>
      <c r="M130" s="2" t="inlineStr">
        <is>
          <t>HIGH</t>
        </is>
      </c>
      <c r="N130" s="2" t="inlineStr">
        <is>
          <t>READY</t>
        </is>
      </c>
      <c r="O130" s="3" t="inlineStr"/>
      <c r="P130" s="3" t="inlineStr"/>
      <c r="Q130" s="3" t="inlineStr"/>
      <c r="R130" s="3" t="inlineStr"/>
    </row>
    <row r="131" ht="20" customHeight="1">
      <c r="A131" s="4" t="inlineStr">
        <is>
          <t>ST130</t>
        </is>
      </c>
      <c r="B131" s="5" t="inlineStr">
        <is>
          <t>Electronics and Communication Engineering (ECE) Cutoffs in Top NITs</t>
        </is>
      </c>
      <c r="C131" s="4" t="inlineStr">
        <is>
          <t>JEE</t>
        </is>
      </c>
      <c r="D131" s="5" t="inlineStr">
        <is>
          <t>College Prediction</t>
        </is>
      </c>
      <c r="E131" s="4" t="inlineStr">
        <is>
          <t>Guide</t>
        </is>
      </c>
      <c r="F131" s="4" t="inlineStr">
        <is>
          <t>Reference</t>
        </is>
      </c>
      <c r="G131" s="5" t="inlineStr">
        <is>
          <t>ece cutoff in top nits</t>
        </is>
      </c>
      <c r="H131" s="5" t="inlineStr">
        <is>
          <t>nit ece closing rank, electronics engineering cutoff josaa, safe rank for ece in nits</t>
        </is>
      </c>
      <c r="I131" s="5" t="inlineStr">
        <is>
          <t>JEE Cutoff Explorer</t>
        </is>
      </c>
      <c r="J131" s="5" t="inlineStr">
        <is>
          <t>/jee/cutoff</t>
        </is>
      </c>
      <c r="K131" s="5" t="inlineStr">
        <is>
          <t>Review ECE closing ranks across tier-1 NITs, semiconductor/core industry scope, and software placement eligibility.</t>
        </is>
      </c>
      <c r="L131" s="4" t="inlineStr">
        <is>
          <t>YES</t>
        </is>
      </c>
      <c r="M131" s="4" t="inlineStr">
        <is>
          <t>HIGH</t>
        </is>
      </c>
      <c r="N131" s="4" t="inlineStr">
        <is>
          <t>READY</t>
        </is>
      </c>
      <c r="O131" s="5" t="inlineStr"/>
      <c r="P131" s="5" t="inlineStr"/>
      <c r="Q131" s="5" t="inlineStr"/>
      <c r="R131" s="5" t="inlineStr"/>
    </row>
    <row r="132" ht="20" customHeight="1">
      <c r="A132" s="2" t="inlineStr">
        <is>
          <t>ST131</t>
        </is>
      </c>
      <c r="B132" s="3" t="inlineStr">
        <is>
          <t>Electrical Engineering Cutoffs and Career Prospects Across NITs</t>
        </is>
      </c>
      <c r="C132" s="2" t="inlineStr">
        <is>
          <t>JEE</t>
        </is>
      </c>
      <c r="D132" s="3" t="inlineStr">
        <is>
          <t>College Prediction</t>
        </is>
      </c>
      <c r="E132" s="2" t="inlineStr">
        <is>
          <t>Guide</t>
        </is>
      </c>
      <c r="F132" s="2" t="inlineStr">
        <is>
          <t>Reference</t>
        </is>
      </c>
      <c r="G132" s="3" t="inlineStr">
        <is>
          <t>electrical engineering cutoff nits</t>
        </is>
      </c>
      <c r="H132" s="3" t="inlineStr">
        <is>
          <t>ee branch closing rank nit, electrical engineering admission rank, core engineering nits</t>
        </is>
      </c>
      <c r="I132" s="3" t="inlineStr">
        <is>
          <t>JEE Cutoff Explorer</t>
        </is>
      </c>
      <c r="J132" s="3" t="inlineStr">
        <is>
          <t>/jee/cutoff</t>
        </is>
      </c>
      <c r="K132" s="3" t="inlineStr">
        <is>
          <t>Review EE cutoffs across premier NITs, PSU eligibility through GATE, and IT recruitment crossover opportunities.</t>
        </is>
      </c>
      <c r="L132" s="2" t="inlineStr">
        <is>
          <t>YES</t>
        </is>
      </c>
      <c r="M132" s="2" t="inlineStr">
        <is>
          <t>MEDIUM</t>
        </is>
      </c>
      <c r="N132" s="2" t="inlineStr">
        <is>
          <t>READY</t>
        </is>
      </c>
      <c r="O132" s="3" t="inlineStr"/>
      <c r="P132" s="3" t="inlineStr"/>
      <c r="Q132" s="3" t="inlineStr"/>
      <c r="R132" s="3" t="inlineStr"/>
    </row>
    <row r="133" ht="20" customHeight="1">
      <c r="A133" s="4" t="inlineStr">
        <is>
          <t>ST132</t>
        </is>
      </c>
      <c r="B133" s="5" t="inlineStr">
        <is>
          <t>Mechanical Engineering Cutoffs in Tier-1 NITs: Is It Still Worth Pursuing?</t>
        </is>
      </c>
      <c r="C133" s="4" t="inlineStr">
        <is>
          <t>JEE</t>
        </is>
      </c>
      <c r="D133" s="5" t="inlineStr">
        <is>
          <t>College Prediction</t>
        </is>
      </c>
      <c r="E133" s="4" t="inlineStr">
        <is>
          <t>Guide</t>
        </is>
      </c>
      <c r="F133" s="4" t="inlineStr">
        <is>
          <t>Reference</t>
        </is>
      </c>
      <c r="G133" s="5" t="inlineStr">
        <is>
          <t>mechanical engineering cutoff in nits</t>
        </is>
      </c>
      <c r="H133" s="5" t="inlineStr">
        <is>
          <t>nit mechanical closing rank, core mechanical placement nits, mechanical engineering ranking</t>
        </is>
      </c>
      <c r="I133" s="5" t="inlineStr">
        <is>
          <t>JEE Cutoff Explorer</t>
        </is>
      </c>
      <c r="J133" s="5" t="inlineStr">
        <is>
          <t>/jee/cutoff</t>
        </is>
      </c>
      <c r="K133" s="5" t="inlineStr">
        <is>
          <t>Evaluate Mechanical Engineering cutoffs in top NITs, highlighting automotive, robotics, aerospace, and analytics pathways.</t>
        </is>
      </c>
      <c r="L133" s="4" t="inlineStr">
        <is>
          <t>YES</t>
        </is>
      </c>
      <c r="M133" s="4" t="inlineStr">
        <is>
          <t>MEDIUM</t>
        </is>
      </c>
      <c r="N133" s="4" t="inlineStr">
        <is>
          <t>READY</t>
        </is>
      </c>
      <c r="O133" s="5" t="inlineStr"/>
      <c r="P133" s="5" t="inlineStr"/>
      <c r="Q133" s="5" t="inlineStr"/>
      <c r="R133" s="5" t="inlineStr"/>
    </row>
    <row r="134" ht="20" customHeight="1">
      <c r="A134" s="2" t="inlineStr">
        <is>
          <t>ST133</t>
        </is>
      </c>
      <c r="B134" s="3" t="inlineStr">
        <is>
          <t>Civil and Chemical Engineering Cutoffs in Top NITs: High Brand vs Core Branch</t>
        </is>
      </c>
      <c r="C134" s="2" t="inlineStr">
        <is>
          <t>JEE</t>
        </is>
      </c>
      <c r="D134" s="3" t="inlineStr">
        <is>
          <t>College Prediction</t>
        </is>
      </c>
      <c r="E134" s="2" t="inlineStr">
        <is>
          <t>Guide</t>
        </is>
      </c>
      <c r="F134" s="2" t="inlineStr">
        <is>
          <t>Educational</t>
        </is>
      </c>
      <c r="G134" s="3" t="inlineStr">
        <is>
          <t>civil and chemical engineering cutoffs in top nits</t>
        </is>
      </c>
      <c r="H134" s="3" t="inlineStr">
        <is>
          <t>nit civil closing rank, chemical engineering cutoff nit, brand name vs branch dilemma</t>
        </is>
      </c>
      <c r="I134" s="3" t="inlineStr">
        <is>
          <t>JEE College Predictor</t>
        </is>
      </c>
      <c r="J134" s="3" t="inlineStr">
        <is>
          <t>/jee/college-predictor</t>
        </is>
      </c>
      <c r="K134" s="3" t="inlineStr">
        <is>
          <t>Navigate the classic decision: selecting lower-demand branches at elite NITs (Trichy, Surathkal) vs CSE at newer institutes.</t>
        </is>
      </c>
      <c r="L134" s="2" t="inlineStr">
        <is>
          <t>YES</t>
        </is>
      </c>
      <c r="M134" s="2" t="inlineStr">
        <is>
          <t>HIGH</t>
        </is>
      </c>
      <c r="N134" s="2" t="inlineStr">
        <is>
          <t>READY</t>
        </is>
      </c>
      <c r="O134" s="3" t="inlineStr"/>
      <c r="P134" s="3" t="inlineStr"/>
      <c r="Q134" s="3" t="inlineStr"/>
      <c r="R134" s="3" t="inlineStr"/>
    </row>
    <row r="135" ht="20" customHeight="1">
      <c r="A135" s="4" t="inlineStr">
        <is>
          <t>ST134</t>
        </is>
      </c>
      <c r="B135" s="5" t="inlineStr">
        <is>
          <t>How to Fill JoSAA Choice List to Minimize Risk of Getting No College</t>
        </is>
      </c>
      <c r="C135" s="4" t="inlineStr">
        <is>
          <t>JEE</t>
        </is>
      </c>
      <c r="D135" s="5" t="inlineStr">
        <is>
          <t>College Prediction</t>
        </is>
      </c>
      <c r="E135" s="4" t="inlineStr">
        <is>
          <t>Guide</t>
        </is>
      </c>
      <c r="F135" s="4" t="inlineStr">
        <is>
          <t>Planning</t>
        </is>
      </c>
      <c r="G135" s="5" t="inlineStr">
        <is>
          <t>how to fill josaa choices safely</t>
        </is>
      </c>
      <c r="H135" s="5" t="inlineStr">
        <is>
          <t>josaa choice filling strategy, order of choices josaa, avoiding zero allocation josaa</t>
        </is>
      </c>
      <c r="I135" s="5" t="inlineStr">
        <is>
          <t>JEE College Predictor</t>
        </is>
      </c>
      <c r="J135" s="5" t="inlineStr">
        <is>
          <t>/jee/college-predictor</t>
        </is>
      </c>
      <c r="K135" s="5" t="inlineStr">
        <is>
          <t>Strategic 3-bucket framework: Dream Choices (above rank), Realistic Choices (around rank), and Safety Choices (well below rank).</t>
        </is>
      </c>
      <c r="L135" s="4" t="inlineStr">
        <is>
          <t>YES</t>
        </is>
      </c>
      <c r="M135" s="4" t="inlineStr">
        <is>
          <t>HIGH</t>
        </is>
      </c>
      <c r="N135" s="4" t="inlineStr">
        <is>
          <t>READY</t>
        </is>
      </c>
      <c r="O135" s="5" t="inlineStr"/>
      <c r="P135" s="5" t="inlineStr"/>
      <c r="Q135" s="5" t="inlineStr"/>
      <c r="R135" s="5" t="inlineStr"/>
    </row>
    <row r="136" ht="20" customHeight="1">
      <c r="A136" s="2" t="inlineStr">
        <is>
          <t>ST135</t>
        </is>
      </c>
      <c r="B136" s="3" t="inlineStr">
        <is>
          <t>Can You Change Your Branch After First Year in an NIT?</t>
        </is>
      </c>
      <c r="C136" s="2" t="inlineStr">
        <is>
          <t>JEE</t>
        </is>
      </c>
      <c r="D136" s="3" t="inlineStr">
        <is>
          <t>College Prediction</t>
        </is>
      </c>
      <c r="E136" s="2" t="inlineStr">
        <is>
          <t>Explanation</t>
        </is>
      </c>
      <c r="F136" s="2" t="inlineStr">
        <is>
          <t>Educational</t>
        </is>
      </c>
      <c r="G136" s="3" t="inlineStr">
        <is>
          <t>branch change in nits rules</t>
        </is>
      </c>
      <c r="H136" s="3" t="inlineStr">
        <is>
          <t>internal branch sliding nit, cgpa required for branch change, has nit stopped branch change</t>
        </is>
      </c>
      <c r="I136" s="3" t="inlineStr">
        <is>
          <t>JEE College Predictor</t>
        </is>
      </c>
      <c r="J136" s="3" t="inlineStr">
        <is>
          <t>/jee/college-predictor</t>
        </is>
      </c>
      <c r="K136" s="3" t="inlineStr">
        <is>
          <t>Detail recent institute policies on branch change, minimum first-year CGPA criteria (typically 8.5+ or 9.0+), and recent policy updates.</t>
        </is>
      </c>
      <c r="L136" s="2" t="inlineStr">
        <is>
          <t>YES</t>
        </is>
      </c>
      <c r="M136" s="2" t="inlineStr">
        <is>
          <t>HIGH</t>
        </is>
      </c>
      <c r="N136" s="2" t="inlineStr">
        <is>
          <t>READY</t>
        </is>
      </c>
      <c r="O136" s="3" t="inlineStr"/>
      <c r="P136" s="3" t="inlineStr"/>
      <c r="Q136" s="3" t="inlineStr"/>
      <c r="R136" s="3" t="inlineStr"/>
    </row>
    <row r="137" ht="20" customHeight="1">
      <c r="A137" s="4" t="inlineStr">
        <is>
          <t>ST136</t>
        </is>
      </c>
      <c r="B137" s="5" t="inlineStr">
        <is>
          <t>How Mock Seat Allocation in JoSAA Helps You Fine-Tune Your Choices</t>
        </is>
      </c>
      <c r="C137" s="4" t="inlineStr">
        <is>
          <t>JEE</t>
        </is>
      </c>
      <c r="D137" s="5" t="inlineStr">
        <is>
          <t>College Prediction</t>
        </is>
      </c>
      <c r="E137" s="4" t="inlineStr">
        <is>
          <t>Explanation</t>
        </is>
      </c>
      <c r="F137" s="4" t="inlineStr">
        <is>
          <t>How-To</t>
        </is>
      </c>
      <c r="G137" s="5" t="inlineStr">
        <is>
          <t>josaa mock seat allocation meaning</t>
        </is>
      </c>
      <c r="H137" s="5" t="inlineStr">
        <is>
          <t>mock round 1 2 josaa, how accurate is mock allocation, editing choices after mock round</t>
        </is>
      </c>
      <c r="I137" s="5" t="inlineStr">
        <is>
          <t>JEE College Predictor</t>
        </is>
      </c>
      <c r="J137" s="5" t="inlineStr">
        <is>
          <t>/jee/college-predictor</t>
        </is>
      </c>
      <c r="K137" s="5" t="inlineStr">
        <is>
          <t>Explain how mock rounds simulate candidate behavior based on initial choices, and how to use mock results to reorder preferences before choice locking.</t>
        </is>
      </c>
      <c r="L137" s="4" t="inlineStr">
        <is>
          <t>YES</t>
        </is>
      </c>
      <c r="M137" s="4" t="inlineStr">
        <is>
          <t>HIGH</t>
        </is>
      </c>
      <c r="N137" s="4" t="inlineStr">
        <is>
          <t>READY</t>
        </is>
      </c>
      <c r="O137" s="5" t="inlineStr"/>
      <c r="P137" s="5" t="inlineStr"/>
      <c r="Q137" s="5" t="inlineStr"/>
      <c r="R137" s="5" t="inlineStr"/>
    </row>
    <row r="138" ht="20" customHeight="1">
      <c r="A138" s="2" t="inlineStr">
        <is>
          <t>ST137</t>
        </is>
      </c>
      <c r="B138" s="3" t="inlineStr">
        <is>
          <t>Dual Degree vs 4-Year B.Tech in NITs: Cutoffs and Pros &amp; Cons</t>
        </is>
      </c>
      <c r="C138" s="2" t="inlineStr">
        <is>
          <t>JEE</t>
        </is>
      </c>
      <c r="D138" s="3" t="inlineStr">
        <is>
          <t>College Prediction</t>
        </is>
      </c>
      <c r="E138" s="2" t="inlineStr">
        <is>
          <t>Comparison</t>
        </is>
      </c>
      <c r="F138" s="2" t="inlineStr">
        <is>
          <t>Comparison</t>
        </is>
      </c>
      <c r="G138" s="3" t="inlineStr">
        <is>
          <t>dual degree vs btech in nits</t>
        </is>
      </c>
      <c r="H138" s="3" t="inlineStr">
        <is>
          <t>btech mtech integrated course nit, dual degree cutoff josaa, is dual degree worth it</t>
        </is>
      </c>
      <c r="I138" s="3" t="inlineStr">
        <is>
          <t>JEE Cutoff Explorer</t>
        </is>
      </c>
      <c r="J138" s="3" t="inlineStr">
        <is>
          <t>/jee/cutoff</t>
        </is>
      </c>
      <c r="K138" s="3" t="inlineStr">
        <is>
          <t>Compare 5-year integrated B.Tech + M.Tech programs with standard 4-year B.Tech programs in terms of cutoffs, academic rigor, and recruitment.</t>
        </is>
      </c>
      <c r="L138" s="2" t="inlineStr">
        <is>
          <t>YES</t>
        </is>
      </c>
      <c r="M138" s="2" t="inlineStr">
        <is>
          <t>MEDIUM</t>
        </is>
      </c>
      <c r="N138" s="2" t="inlineStr">
        <is>
          <t>READY</t>
        </is>
      </c>
      <c r="O138" s="3" t="inlineStr"/>
      <c r="P138" s="3" t="inlineStr"/>
      <c r="Q138" s="3" t="inlineStr"/>
      <c r="R138" s="3" t="inlineStr"/>
    </row>
    <row r="139" ht="20" customHeight="1">
      <c r="A139" s="4" t="inlineStr">
        <is>
          <t>ST138</t>
        </is>
      </c>
      <c r="B139" s="5" t="inlineStr">
        <is>
          <t>What Happens If You Miss the JoSAA Seat Acceptance Fee Deadline?</t>
        </is>
      </c>
      <c r="C139" s="4" t="inlineStr">
        <is>
          <t>JEE</t>
        </is>
      </c>
      <c r="D139" s="5" t="inlineStr">
        <is>
          <t>College Prediction</t>
        </is>
      </c>
      <c r="E139" s="4" t="inlineStr">
        <is>
          <t>Explanation</t>
        </is>
      </c>
      <c r="F139" s="4" t="inlineStr">
        <is>
          <t>Reference</t>
        </is>
      </c>
      <c r="G139" s="5" t="inlineStr">
        <is>
          <t>missed josaa seat acceptance fee deadline</t>
        </is>
      </c>
      <c r="H139" s="5" t="inlineStr">
        <is>
          <t>cancellation of josaa seat, can i enter next round after missing fee, josaa fee rules</t>
        </is>
      </c>
      <c r="I139" s="5" t="inlineStr">
        <is>
          <t>JEE College Predictor</t>
        </is>
      </c>
      <c r="J139" s="5" t="inlineStr">
        <is>
          <t>/jee/college-predictor</t>
        </is>
      </c>
      <c r="K139" s="5" t="inlineStr">
        <is>
          <t>Warn students about automatic cancellation of allocated seats and forfeiture of eligibility in remaining JoSAA rounds if deadlines are missed.</t>
        </is>
      </c>
      <c r="L139" s="4" t="inlineStr">
        <is>
          <t>YES</t>
        </is>
      </c>
      <c r="M139" s="4" t="inlineStr">
        <is>
          <t>HIGH</t>
        </is>
      </c>
      <c r="N139" s="4" t="inlineStr">
        <is>
          <t>READY</t>
        </is>
      </c>
      <c r="O139" s="5" t="inlineStr"/>
      <c r="P139" s="5" t="inlineStr"/>
      <c r="Q139" s="5" t="inlineStr"/>
      <c r="R139" s="5" t="inlineStr"/>
    </row>
    <row r="140" ht="20" customHeight="1">
      <c r="A140" s="2" t="inlineStr">
        <is>
          <t>ST139</t>
        </is>
      </c>
      <c r="B140" s="3" t="inlineStr">
        <is>
          <t>Document Verification in JoSAA: Required Certificates and Common Rejection Causes</t>
        </is>
      </c>
      <c r="C140" s="2" t="inlineStr">
        <is>
          <t>JEE</t>
        </is>
      </c>
      <c r="D140" s="3" t="inlineStr">
        <is>
          <t>College Prediction</t>
        </is>
      </c>
      <c r="E140" s="2" t="inlineStr">
        <is>
          <t>Guide</t>
        </is>
      </c>
      <c r="F140" s="2" t="inlineStr">
        <is>
          <t>Reference</t>
        </is>
      </c>
      <c r="G140" s="3" t="inlineStr">
        <is>
          <t>documents required for josaa counselling</t>
        </is>
      </c>
      <c r="H140" s="3" t="inlineStr">
        <is>
          <t>josaa certificate format, obc ncl certificate date josaa, medical certificate format engineering</t>
        </is>
      </c>
      <c r="I140" s="3" t="inlineStr">
        <is>
          <t>JEE College Predictor</t>
        </is>
      </c>
      <c r="J140" s="3" t="inlineStr">
        <is>
          <t>/jee/college-predictor</t>
        </is>
      </c>
      <c r="K140" s="3" t="inlineStr">
        <is>
          <t>Checklist of essential documents: Class 10/12 marksheets, valid Category certificates issued after April 1, PwD disability certificates, and state domicile proofs.</t>
        </is>
      </c>
      <c r="L140" s="2" t="inlineStr">
        <is>
          <t>YES</t>
        </is>
      </c>
      <c r="M140" s="2" t="inlineStr">
        <is>
          <t>HIGH</t>
        </is>
      </c>
      <c r="N140" s="2" t="inlineStr">
        <is>
          <t>READY</t>
        </is>
      </c>
      <c r="O140" s="3" t="inlineStr"/>
      <c r="P140" s="3" t="inlineStr"/>
      <c r="Q140" s="3" t="inlineStr"/>
      <c r="R140" s="3" t="inlineStr"/>
    </row>
    <row r="141" ht="20" customHeight="1">
      <c r="A141" s="4" t="inlineStr">
        <is>
          <t>ST140</t>
        </is>
      </c>
      <c r="B141" s="5" t="inlineStr">
        <is>
          <t>North Eastern NITs: Cutoffs, Infrastructure, and Career Prospects</t>
        </is>
      </c>
      <c r="C141" s="4" t="inlineStr">
        <is>
          <t>JEE</t>
        </is>
      </c>
      <c r="D141" s="5" t="inlineStr">
        <is>
          <t>College Prediction</t>
        </is>
      </c>
      <c r="E141" s="4" t="inlineStr">
        <is>
          <t>Guide</t>
        </is>
      </c>
      <c r="F141" s="4" t="inlineStr">
        <is>
          <t>Reference</t>
        </is>
      </c>
      <c r="G141" s="5" t="inlineStr">
        <is>
          <t>north east nits cutoffs and placements</t>
        </is>
      </c>
      <c r="H141" s="5" t="inlineStr">
        <is>
          <t>nit meghalaya agartala arunachal cutoffs, low rank nit options, are north east nits good</t>
        </is>
      </c>
      <c r="I141" s="5" t="inlineStr">
        <is>
          <t>JEE Cutoff Explorer</t>
        </is>
      </c>
      <c r="J141" s="5" t="inlineStr">
        <is>
          <t>/jee/cutoff</t>
        </is>
      </c>
      <c r="K141" s="5" t="inlineStr">
        <is>
          <t>In-depth look at NIT Meghalaya, Silchar, Agartala, Arunachal Pradesh, Manipur, Mizoram, Nagaland, and Sikkim with closing ranks and campus progress.</t>
        </is>
      </c>
      <c r="L141" s="4" t="inlineStr">
        <is>
          <t>YES</t>
        </is>
      </c>
      <c r="M141" s="4" t="inlineStr">
        <is>
          <t>MEDIUM</t>
        </is>
      </c>
      <c r="N141" s="4" t="inlineStr">
        <is>
          <t>READY</t>
        </is>
      </c>
      <c r="O141" s="5" t="inlineStr"/>
      <c r="P141" s="5" t="inlineStr"/>
      <c r="Q141" s="5" t="inlineStr"/>
      <c r="R141" s="5" t="inlineStr"/>
    </row>
    <row r="142" ht="20" customHeight="1">
      <c r="A142" s="2" t="inlineStr">
        <is>
          <t>ST141</t>
        </is>
      </c>
      <c r="B142" s="3" t="inlineStr">
        <is>
          <t>NIT Trichy Cutoff Explorer: Branch-Wise Closing Ranks and Admission Guide</t>
        </is>
      </c>
      <c r="C142" s="2" t="inlineStr">
        <is>
          <t>JEE</t>
        </is>
      </c>
      <c r="D142" s="3" t="inlineStr">
        <is>
          <t>College Prediction</t>
        </is>
      </c>
      <c r="E142" s="2" t="inlineStr">
        <is>
          <t>Guide</t>
        </is>
      </c>
      <c r="F142" s="2" t="inlineStr">
        <is>
          <t>Reference</t>
        </is>
      </c>
      <c r="G142" s="3" t="inlineStr">
        <is>
          <t>nit trichy cutoff branch wise</t>
        </is>
      </c>
      <c r="H142" s="3" t="inlineStr">
        <is>
          <t>nit trichy cse closing rank, nit trichy home state cutoff</t>
        </is>
      </c>
      <c r="I142" s="3" t="inlineStr">
        <is>
          <t>JEE Cutoff Explorer</t>
        </is>
      </c>
      <c r="J142" s="3" t="inlineStr">
        <is>
          <t>/jee/cutoff</t>
        </is>
      </c>
      <c r="K142" s="3" t="inlineStr">
        <is>
          <t>Examine closing ranks, quota distributions, category cutoffs, and recent admission trends for NIT Trichy through JoSAA and CSAB.</t>
        </is>
      </c>
      <c r="L142" s="2" t="inlineStr">
        <is>
          <t>YES</t>
        </is>
      </c>
      <c r="M142" s="2" t="inlineStr">
        <is>
          <t>HIGH</t>
        </is>
      </c>
      <c r="N142" s="2" t="inlineStr">
        <is>
          <t>READY</t>
        </is>
      </c>
      <c r="O142" s="3" t="inlineStr"/>
      <c r="P142" s="3" t="inlineStr"/>
      <c r="Q142" s="3" t="inlineStr"/>
      <c r="R142" s="3" t="inlineStr"/>
    </row>
    <row r="143" ht="20" customHeight="1">
      <c r="A143" s="4" t="inlineStr">
        <is>
          <t>ST142</t>
        </is>
      </c>
      <c r="B143" s="5" t="inlineStr">
        <is>
          <t>NIT Surathkal Cutoff Explorer: Branch-Wise Closing Ranks and Admission Guide</t>
        </is>
      </c>
      <c r="C143" s="4" t="inlineStr">
        <is>
          <t>JEE</t>
        </is>
      </c>
      <c r="D143" s="5" t="inlineStr">
        <is>
          <t>College Prediction</t>
        </is>
      </c>
      <c r="E143" s="4" t="inlineStr">
        <is>
          <t>Guide</t>
        </is>
      </c>
      <c r="F143" s="4" t="inlineStr">
        <is>
          <t>Reference</t>
        </is>
      </c>
      <c r="G143" s="5" t="inlineStr">
        <is>
          <t>nit surathkal cutoff ranks</t>
        </is>
      </c>
      <c r="H143" s="5" t="inlineStr">
        <is>
          <t>nit surathkal cse closing rank, nit surathkal admission rank</t>
        </is>
      </c>
      <c r="I143" s="5" t="inlineStr">
        <is>
          <t>JEE Cutoff Explorer</t>
        </is>
      </c>
      <c r="J143" s="5" t="inlineStr">
        <is>
          <t>/jee/cutoff</t>
        </is>
      </c>
      <c r="K143" s="5" t="inlineStr">
        <is>
          <t>Examine closing ranks, quota distributions, category cutoffs, and recent admission trends for NIT Surathkal through JoSAA and CSAB.</t>
        </is>
      </c>
      <c r="L143" s="4" t="inlineStr">
        <is>
          <t>YES</t>
        </is>
      </c>
      <c r="M143" s="4" t="inlineStr">
        <is>
          <t>HIGH</t>
        </is>
      </c>
      <c r="N143" s="4" t="inlineStr">
        <is>
          <t>READY</t>
        </is>
      </c>
      <c r="O143" s="5" t="inlineStr"/>
      <c r="P143" s="5" t="inlineStr"/>
      <c r="Q143" s="5" t="inlineStr"/>
      <c r="R143" s="5" t="inlineStr"/>
    </row>
    <row r="144" ht="20" customHeight="1">
      <c r="A144" s="2" t="inlineStr">
        <is>
          <t>ST143</t>
        </is>
      </c>
      <c r="B144" s="3" t="inlineStr">
        <is>
          <t>NIT Warangal Cutoff Explorer: Branch-Wise Closing Ranks and Admission Guide</t>
        </is>
      </c>
      <c r="C144" s="2" t="inlineStr">
        <is>
          <t>JEE</t>
        </is>
      </c>
      <c r="D144" s="3" t="inlineStr">
        <is>
          <t>College Prediction</t>
        </is>
      </c>
      <c r="E144" s="2" t="inlineStr">
        <is>
          <t>Guide</t>
        </is>
      </c>
      <c r="F144" s="2" t="inlineStr">
        <is>
          <t>Reference</t>
        </is>
      </c>
      <c r="G144" s="3" t="inlineStr">
        <is>
          <t>nit warangal cutoff ranks</t>
        </is>
      </c>
      <c r="H144" s="3" t="inlineStr">
        <is>
          <t>nit warangal cse closing rank, nit warangal cutoffs josaa</t>
        </is>
      </c>
      <c r="I144" s="3" t="inlineStr">
        <is>
          <t>JEE Cutoff Explorer</t>
        </is>
      </c>
      <c r="J144" s="3" t="inlineStr">
        <is>
          <t>/jee/cutoff</t>
        </is>
      </c>
      <c r="K144" s="3" t="inlineStr">
        <is>
          <t>Examine closing ranks, quota distributions, category cutoffs, and recent admission trends for NIT Warangal through JoSAA and CSAB.</t>
        </is>
      </c>
      <c r="L144" s="2" t="inlineStr">
        <is>
          <t>YES</t>
        </is>
      </c>
      <c r="M144" s="2" t="inlineStr">
        <is>
          <t>HIGH</t>
        </is>
      </c>
      <c r="N144" s="2" t="inlineStr">
        <is>
          <t>READY</t>
        </is>
      </c>
      <c r="O144" s="3" t="inlineStr"/>
      <c r="P144" s="3" t="inlineStr"/>
      <c r="Q144" s="3" t="inlineStr"/>
      <c r="R144" s="3" t="inlineStr"/>
    </row>
    <row r="145" ht="20" customHeight="1">
      <c r="A145" s="4" t="inlineStr">
        <is>
          <t>ST144</t>
        </is>
      </c>
      <c r="B145" s="5" t="inlineStr">
        <is>
          <t>NIT Rourkela Cutoff Explorer: Branch-Wise Closing Ranks and Admission Guide</t>
        </is>
      </c>
      <c r="C145" s="4" t="inlineStr">
        <is>
          <t>JEE</t>
        </is>
      </c>
      <c r="D145" s="5" t="inlineStr">
        <is>
          <t>College Prediction</t>
        </is>
      </c>
      <c r="E145" s="4" t="inlineStr">
        <is>
          <t>Guide</t>
        </is>
      </c>
      <c r="F145" s="4" t="inlineStr">
        <is>
          <t>Reference</t>
        </is>
      </c>
      <c r="G145" s="5" t="inlineStr">
        <is>
          <t>nit rourkela cutoff branch wise</t>
        </is>
      </c>
      <c r="H145" s="5" t="inlineStr">
        <is>
          <t>nit rourkela cse closing rank, nit rourkela admission rank</t>
        </is>
      </c>
      <c r="I145" s="5" t="inlineStr">
        <is>
          <t>JEE Cutoff Explorer</t>
        </is>
      </c>
      <c r="J145" s="5" t="inlineStr">
        <is>
          <t>/jee/cutoff</t>
        </is>
      </c>
      <c r="K145" s="5" t="inlineStr">
        <is>
          <t>Examine closing ranks, quota distributions, category cutoffs, and recent admission trends for NIT Rourkela through JoSAA and CSAB.</t>
        </is>
      </c>
      <c r="L145" s="4" t="inlineStr">
        <is>
          <t>YES</t>
        </is>
      </c>
      <c r="M145" s="4" t="inlineStr">
        <is>
          <t>HIGH</t>
        </is>
      </c>
      <c r="N145" s="4" t="inlineStr">
        <is>
          <t>READY</t>
        </is>
      </c>
      <c r="O145" s="5" t="inlineStr"/>
      <c r="P145" s="5" t="inlineStr"/>
      <c r="Q145" s="5" t="inlineStr"/>
      <c r="R145" s="5" t="inlineStr"/>
    </row>
    <row r="146" ht="20" customHeight="1">
      <c r="A146" s="2" t="inlineStr">
        <is>
          <t>ST145</t>
        </is>
      </c>
      <c r="B146" s="3" t="inlineStr">
        <is>
          <t>NIT Calicut Cutoff Explorer: Branch-Wise Closing Ranks and Admission Guide</t>
        </is>
      </c>
      <c r="C146" s="2" t="inlineStr">
        <is>
          <t>JEE</t>
        </is>
      </c>
      <c r="D146" s="3" t="inlineStr">
        <is>
          <t>College Prediction</t>
        </is>
      </c>
      <c r="E146" s="2" t="inlineStr">
        <is>
          <t>Guide</t>
        </is>
      </c>
      <c r="F146" s="2" t="inlineStr">
        <is>
          <t>Reference</t>
        </is>
      </c>
      <c r="G146" s="3" t="inlineStr">
        <is>
          <t>nit calicut cutoff ranks</t>
        </is>
      </c>
      <c r="H146" s="3" t="inlineStr">
        <is>
          <t>nit calicut cse cutoff, nit calicut closing rank josaa</t>
        </is>
      </c>
      <c r="I146" s="3" t="inlineStr">
        <is>
          <t>JEE Cutoff Explorer</t>
        </is>
      </c>
      <c r="J146" s="3" t="inlineStr">
        <is>
          <t>/jee/cutoff</t>
        </is>
      </c>
      <c r="K146" s="3" t="inlineStr">
        <is>
          <t>Examine closing ranks, quota distributions, category cutoffs, and recent admission trends for NIT Calicut through JoSAA and CSAB.</t>
        </is>
      </c>
      <c r="L146" s="2" t="inlineStr">
        <is>
          <t>YES</t>
        </is>
      </c>
      <c r="M146" s="2" t="inlineStr">
        <is>
          <t>HIGH</t>
        </is>
      </c>
      <c r="N146" s="2" t="inlineStr">
        <is>
          <t>READY</t>
        </is>
      </c>
      <c r="O146" s="3" t="inlineStr"/>
      <c r="P146" s="3" t="inlineStr"/>
      <c r="Q146" s="3" t="inlineStr"/>
      <c r="R146" s="3" t="inlineStr"/>
    </row>
    <row r="147" ht="20" customHeight="1">
      <c r="A147" s="4" t="inlineStr">
        <is>
          <t>ST146</t>
        </is>
      </c>
      <c r="B147" s="5" t="inlineStr">
        <is>
          <t>VNIT Nagpur Cutoff Explorer: Branch-Wise Closing Ranks and Admission Guide</t>
        </is>
      </c>
      <c r="C147" s="4" t="inlineStr">
        <is>
          <t>JEE</t>
        </is>
      </c>
      <c r="D147" s="5" t="inlineStr">
        <is>
          <t>College Prediction</t>
        </is>
      </c>
      <c r="E147" s="4" t="inlineStr">
        <is>
          <t>Guide</t>
        </is>
      </c>
      <c r="F147" s="4" t="inlineStr">
        <is>
          <t>Reference</t>
        </is>
      </c>
      <c r="G147" s="5" t="inlineStr">
        <is>
          <t>vnit nagpur cutoff ranks</t>
        </is>
      </c>
      <c r="H147" s="5" t="inlineStr">
        <is>
          <t>vnit nagpur cse cutoff, vnit nagpur closing rank</t>
        </is>
      </c>
      <c r="I147" s="5" t="inlineStr">
        <is>
          <t>JEE Cutoff Explorer</t>
        </is>
      </c>
      <c r="J147" s="5" t="inlineStr">
        <is>
          <t>/jee/cutoff</t>
        </is>
      </c>
      <c r="K147" s="5" t="inlineStr">
        <is>
          <t>Examine closing ranks, quota distributions, category cutoffs, and recent admission trends for VNIT Nagpur through JoSAA and CSAB.</t>
        </is>
      </c>
      <c r="L147" s="4" t="inlineStr">
        <is>
          <t>YES</t>
        </is>
      </c>
      <c r="M147" s="4" t="inlineStr">
        <is>
          <t>HIGH</t>
        </is>
      </c>
      <c r="N147" s="4" t="inlineStr">
        <is>
          <t>READY</t>
        </is>
      </c>
      <c r="O147" s="5" t="inlineStr"/>
      <c r="P147" s="5" t="inlineStr"/>
      <c r="Q147" s="5" t="inlineStr"/>
      <c r="R147" s="5" t="inlineStr"/>
    </row>
    <row r="148" ht="20" customHeight="1">
      <c r="A148" s="2" t="inlineStr">
        <is>
          <t>ST147</t>
        </is>
      </c>
      <c r="B148" s="3" t="inlineStr">
        <is>
          <t>MNIT Jaipur Cutoff Explorer: Branch-Wise Closing Ranks and Admission Guide</t>
        </is>
      </c>
      <c r="C148" s="2" t="inlineStr">
        <is>
          <t>JEE</t>
        </is>
      </c>
      <c r="D148" s="3" t="inlineStr">
        <is>
          <t>College Prediction</t>
        </is>
      </c>
      <c r="E148" s="2" t="inlineStr">
        <is>
          <t>Guide</t>
        </is>
      </c>
      <c r="F148" s="2" t="inlineStr">
        <is>
          <t>Reference</t>
        </is>
      </c>
      <c r="G148" s="3" t="inlineStr">
        <is>
          <t>mnit jaipur cutoff ranks</t>
        </is>
      </c>
      <c r="H148" s="3" t="inlineStr">
        <is>
          <t>mnit jaipur cse cutoff, mnit jaipur closing rank</t>
        </is>
      </c>
      <c r="I148" s="3" t="inlineStr">
        <is>
          <t>JEE Cutoff Explorer</t>
        </is>
      </c>
      <c r="J148" s="3" t="inlineStr">
        <is>
          <t>/jee/cutoff</t>
        </is>
      </c>
      <c r="K148" s="3" t="inlineStr">
        <is>
          <t>Examine closing ranks, quota distributions, category cutoffs, and recent admission trends for MNIT Jaipur through JoSAA and CSAB.</t>
        </is>
      </c>
      <c r="L148" s="2" t="inlineStr">
        <is>
          <t>YES</t>
        </is>
      </c>
      <c r="M148" s="2" t="inlineStr">
        <is>
          <t>HIGH</t>
        </is>
      </c>
      <c r="N148" s="2" t="inlineStr">
        <is>
          <t>READY</t>
        </is>
      </c>
      <c r="O148" s="3" t="inlineStr"/>
      <c r="P148" s="3" t="inlineStr"/>
      <c r="Q148" s="3" t="inlineStr"/>
      <c r="R148" s="3" t="inlineStr"/>
    </row>
    <row r="149" ht="20" customHeight="1">
      <c r="A149" s="4" t="inlineStr">
        <is>
          <t>ST148</t>
        </is>
      </c>
      <c r="B149" s="5" t="inlineStr">
        <is>
          <t>MNNIT Allahabad Cutoff Explorer: Branch-Wise Closing Ranks and Admission Guide</t>
        </is>
      </c>
      <c r="C149" s="4" t="inlineStr">
        <is>
          <t>JEE</t>
        </is>
      </c>
      <c r="D149" s="5" t="inlineStr">
        <is>
          <t>College Prediction</t>
        </is>
      </c>
      <c r="E149" s="4" t="inlineStr">
        <is>
          <t>Guide</t>
        </is>
      </c>
      <c r="F149" s="4" t="inlineStr">
        <is>
          <t>Reference</t>
        </is>
      </c>
      <c r="G149" s="5" t="inlineStr">
        <is>
          <t>mnnit allahabad cutoff ranks</t>
        </is>
      </c>
      <c r="H149" s="5" t="inlineStr">
        <is>
          <t>mnnit allahabad cse cutoff, mnnit closing rank josaa</t>
        </is>
      </c>
      <c r="I149" s="5" t="inlineStr">
        <is>
          <t>JEE Cutoff Explorer</t>
        </is>
      </c>
      <c r="J149" s="5" t="inlineStr">
        <is>
          <t>/jee/cutoff</t>
        </is>
      </c>
      <c r="K149" s="5" t="inlineStr">
        <is>
          <t>Examine closing ranks, quota distributions, category cutoffs, and recent admission trends for MNNIT Allahabad through JoSAA and CSAB.</t>
        </is>
      </c>
      <c r="L149" s="4" t="inlineStr">
        <is>
          <t>YES</t>
        </is>
      </c>
      <c r="M149" s="4" t="inlineStr">
        <is>
          <t>HIGH</t>
        </is>
      </c>
      <c r="N149" s="4" t="inlineStr">
        <is>
          <t>READY</t>
        </is>
      </c>
      <c r="O149" s="5" t="inlineStr"/>
      <c r="P149" s="5" t="inlineStr"/>
      <c r="Q149" s="5" t="inlineStr"/>
      <c r="R149" s="5" t="inlineStr"/>
    </row>
    <row r="150" ht="20" customHeight="1">
      <c r="A150" s="2" t="inlineStr">
        <is>
          <t>ST149</t>
        </is>
      </c>
      <c r="B150" s="3" t="inlineStr">
        <is>
          <t>NIT Kurukshetra Cutoff Explorer: Branch-Wise Closing Ranks and Admission Guide</t>
        </is>
      </c>
      <c r="C150" s="2" t="inlineStr">
        <is>
          <t>JEE</t>
        </is>
      </c>
      <c r="D150" s="3" t="inlineStr">
        <is>
          <t>College Prediction</t>
        </is>
      </c>
      <c r="E150" s="2" t="inlineStr">
        <is>
          <t>Guide</t>
        </is>
      </c>
      <c r="F150" s="2" t="inlineStr">
        <is>
          <t>Reference</t>
        </is>
      </c>
      <c r="G150" s="3" t="inlineStr">
        <is>
          <t>nit kurukshetra cutoff ranks</t>
        </is>
      </c>
      <c r="H150" s="3" t="inlineStr">
        <is>
          <t>nit kurukshetra cse cutoff, nit kurukshetra admission rank</t>
        </is>
      </c>
      <c r="I150" s="3" t="inlineStr">
        <is>
          <t>JEE Cutoff Explorer</t>
        </is>
      </c>
      <c r="J150" s="3" t="inlineStr">
        <is>
          <t>/jee/cutoff</t>
        </is>
      </c>
      <c r="K150" s="3" t="inlineStr">
        <is>
          <t>Examine closing ranks, quota distributions, category cutoffs, and recent admission trends for NIT Kurukshetra through JoSAA and CSAB.</t>
        </is>
      </c>
      <c r="L150" s="2" t="inlineStr">
        <is>
          <t>YES</t>
        </is>
      </c>
      <c r="M150" s="2" t="inlineStr">
        <is>
          <t>MEDIUM</t>
        </is>
      </c>
      <c r="N150" s="2" t="inlineStr">
        <is>
          <t>READY</t>
        </is>
      </c>
      <c r="O150" s="3" t="inlineStr"/>
      <c r="P150" s="3" t="inlineStr"/>
      <c r="Q150" s="3" t="inlineStr"/>
      <c r="R150" s="3" t="inlineStr"/>
    </row>
    <row r="151" ht="20" customHeight="1">
      <c r="A151" s="4" t="inlineStr">
        <is>
          <t>ST150</t>
        </is>
      </c>
      <c r="B151" s="5" t="inlineStr">
        <is>
          <t>NIT Durgapur Cutoff Explorer: Branch-Wise Closing Ranks and Admission Guide</t>
        </is>
      </c>
      <c r="C151" s="4" t="inlineStr">
        <is>
          <t>JEE</t>
        </is>
      </c>
      <c r="D151" s="5" t="inlineStr">
        <is>
          <t>College Prediction</t>
        </is>
      </c>
      <c r="E151" s="4" t="inlineStr">
        <is>
          <t>Guide</t>
        </is>
      </c>
      <c r="F151" s="4" t="inlineStr">
        <is>
          <t>Reference</t>
        </is>
      </c>
      <c r="G151" s="5" t="inlineStr">
        <is>
          <t>nit durgapur cutoff ranks</t>
        </is>
      </c>
      <c r="H151" s="5" t="inlineStr">
        <is>
          <t>nit durgapur cse cutoff, nit durgapur closing rank</t>
        </is>
      </c>
      <c r="I151" s="5" t="inlineStr">
        <is>
          <t>JEE Cutoff Explorer</t>
        </is>
      </c>
      <c r="J151" s="5" t="inlineStr">
        <is>
          <t>/jee/cutoff</t>
        </is>
      </c>
      <c r="K151" s="5" t="inlineStr">
        <is>
          <t>Examine closing ranks, quota distributions, category cutoffs, and recent admission trends for NIT Durgapur through JoSAA and CSAB.</t>
        </is>
      </c>
      <c r="L151" s="4" t="inlineStr">
        <is>
          <t>YES</t>
        </is>
      </c>
      <c r="M151" s="4" t="inlineStr">
        <is>
          <t>MEDIUM</t>
        </is>
      </c>
      <c r="N151" s="4" t="inlineStr">
        <is>
          <t>READY</t>
        </is>
      </c>
      <c r="O151" s="5" t="inlineStr"/>
      <c r="P151" s="5" t="inlineStr"/>
      <c r="Q151" s="5" t="inlineStr"/>
      <c r="R151" s="5" t="inlineStr"/>
    </row>
    <row r="152" ht="20" customHeight="1">
      <c r="A152" s="2" t="inlineStr">
        <is>
          <t>ST151</t>
        </is>
      </c>
      <c r="B152" s="3" t="inlineStr">
        <is>
          <t>NIT Silchar Cutoff Explorer: Branch-Wise Closing Ranks and Admission Guide</t>
        </is>
      </c>
      <c r="C152" s="2" t="inlineStr">
        <is>
          <t>JEE</t>
        </is>
      </c>
      <c r="D152" s="3" t="inlineStr">
        <is>
          <t>College Prediction</t>
        </is>
      </c>
      <c r="E152" s="2" t="inlineStr">
        <is>
          <t>Guide</t>
        </is>
      </c>
      <c r="F152" s="2" t="inlineStr">
        <is>
          <t>Reference</t>
        </is>
      </c>
      <c r="G152" s="3" t="inlineStr">
        <is>
          <t>nit silchar cutoff ranks</t>
        </is>
      </c>
      <c r="H152" s="3" t="inlineStr">
        <is>
          <t>nit silchar cse cutoff, nit silchar closing rank</t>
        </is>
      </c>
      <c r="I152" s="3" t="inlineStr">
        <is>
          <t>JEE Cutoff Explorer</t>
        </is>
      </c>
      <c r="J152" s="3" t="inlineStr">
        <is>
          <t>/jee/cutoff</t>
        </is>
      </c>
      <c r="K152" s="3" t="inlineStr">
        <is>
          <t>Examine closing ranks, quota distributions, category cutoffs, and recent admission trends for NIT Silchar through JoSAA and CSAB.</t>
        </is>
      </c>
      <c r="L152" s="2" t="inlineStr">
        <is>
          <t>YES</t>
        </is>
      </c>
      <c r="M152" s="2" t="inlineStr">
        <is>
          <t>MEDIUM</t>
        </is>
      </c>
      <c r="N152" s="2" t="inlineStr">
        <is>
          <t>READY</t>
        </is>
      </c>
      <c r="O152" s="3" t="inlineStr"/>
      <c r="P152" s="3" t="inlineStr"/>
      <c r="Q152" s="3" t="inlineStr"/>
      <c r="R152" s="3" t="inlineStr"/>
    </row>
    <row r="153" ht="20" customHeight="1">
      <c r="A153" s="4" t="inlineStr">
        <is>
          <t>ST152</t>
        </is>
      </c>
      <c r="B153" s="5" t="inlineStr">
        <is>
          <t>NIT Jamshedpur Cutoff Explorer: Branch-Wise Closing Ranks and Admission Guide</t>
        </is>
      </c>
      <c r="C153" s="4" t="inlineStr">
        <is>
          <t>JEE</t>
        </is>
      </c>
      <c r="D153" s="5" t="inlineStr">
        <is>
          <t>College Prediction</t>
        </is>
      </c>
      <c r="E153" s="4" t="inlineStr">
        <is>
          <t>Guide</t>
        </is>
      </c>
      <c r="F153" s="4" t="inlineStr">
        <is>
          <t>Reference</t>
        </is>
      </c>
      <c r="G153" s="5" t="inlineStr">
        <is>
          <t>nit jamshedpur cutoff ranks</t>
        </is>
      </c>
      <c r="H153" s="5" t="inlineStr">
        <is>
          <t>nit jamshedpur cse cutoff, nit jamshedpur placement cutoff</t>
        </is>
      </c>
      <c r="I153" s="5" t="inlineStr">
        <is>
          <t>JEE Cutoff Explorer</t>
        </is>
      </c>
      <c r="J153" s="5" t="inlineStr">
        <is>
          <t>/jee/cutoff</t>
        </is>
      </c>
      <c r="K153" s="5" t="inlineStr">
        <is>
          <t>Examine closing ranks, quota distributions, category cutoffs, and recent admission trends for NIT Jamshedpur through JoSAA and CSAB.</t>
        </is>
      </c>
      <c r="L153" s="4" t="inlineStr">
        <is>
          <t>YES</t>
        </is>
      </c>
      <c r="M153" s="4" t="inlineStr">
        <is>
          <t>MEDIUM</t>
        </is>
      </c>
      <c r="N153" s="4" t="inlineStr">
        <is>
          <t>READY</t>
        </is>
      </c>
      <c r="O153" s="5" t="inlineStr"/>
      <c r="P153" s="5" t="inlineStr"/>
      <c r="Q153" s="5" t="inlineStr"/>
      <c r="R153" s="5" t="inlineStr"/>
    </row>
    <row r="154" ht="20" customHeight="1">
      <c r="A154" s="2" t="inlineStr">
        <is>
          <t>ST153</t>
        </is>
      </c>
      <c r="B154" s="3" t="inlineStr">
        <is>
          <t>NIT Bhopal Cutoff Explorer: Branch-Wise Closing Ranks and Admission Guide</t>
        </is>
      </c>
      <c r="C154" s="2" t="inlineStr">
        <is>
          <t>JEE</t>
        </is>
      </c>
      <c r="D154" s="3" t="inlineStr">
        <is>
          <t>College Prediction</t>
        </is>
      </c>
      <c r="E154" s="2" t="inlineStr">
        <is>
          <t>Guide</t>
        </is>
      </c>
      <c r="F154" s="2" t="inlineStr">
        <is>
          <t>Reference</t>
        </is>
      </c>
      <c r="G154" s="3" t="inlineStr">
        <is>
          <t>manit bhopal cutoff ranks</t>
        </is>
      </c>
      <c r="H154" s="3" t="inlineStr">
        <is>
          <t>manit bhopal cse closing rank, nit bhopal admission rank</t>
        </is>
      </c>
      <c r="I154" s="3" t="inlineStr">
        <is>
          <t>JEE Cutoff Explorer</t>
        </is>
      </c>
      <c r="J154" s="3" t="inlineStr">
        <is>
          <t>/jee/cutoff</t>
        </is>
      </c>
      <c r="K154" s="3" t="inlineStr">
        <is>
          <t>Examine closing ranks, quota distributions, category cutoffs, and recent admission trends for NIT Bhopal through JoSAA and CSAB.</t>
        </is>
      </c>
      <c r="L154" s="2" t="inlineStr">
        <is>
          <t>YES</t>
        </is>
      </c>
      <c r="M154" s="2" t="inlineStr">
        <is>
          <t>MEDIUM</t>
        </is>
      </c>
      <c r="N154" s="2" t="inlineStr">
        <is>
          <t>READY</t>
        </is>
      </c>
      <c r="O154" s="3" t="inlineStr"/>
      <c r="P154" s="3" t="inlineStr"/>
      <c r="Q154" s="3" t="inlineStr"/>
      <c r="R154" s="3" t="inlineStr"/>
    </row>
    <row r="155" ht="20" customHeight="1">
      <c r="A155" s="4" t="inlineStr">
        <is>
          <t>ST154</t>
        </is>
      </c>
      <c r="B155" s="5" t="inlineStr">
        <is>
          <t>NIT Jalandhar Cutoff Explorer: Branch-Wise Closing Ranks and Admission Guide</t>
        </is>
      </c>
      <c r="C155" s="4" t="inlineStr">
        <is>
          <t>JEE</t>
        </is>
      </c>
      <c r="D155" s="5" t="inlineStr">
        <is>
          <t>College Prediction</t>
        </is>
      </c>
      <c r="E155" s="4" t="inlineStr">
        <is>
          <t>Guide</t>
        </is>
      </c>
      <c r="F155" s="4" t="inlineStr">
        <is>
          <t>Reference</t>
        </is>
      </c>
      <c r="G155" s="5" t="inlineStr">
        <is>
          <t>nit jalandhar cutoff ranks</t>
        </is>
      </c>
      <c r="H155" s="5" t="inlineStr">
        <is>
          <t>nit jalandhar cse cutoff, nit jalandhar closing rank</t>
        </is>
      </c>
      <c r="I155" s="5" t="inlineStr">
        <is>
          <t>JEE Cutoff Explorer</t>
        </is>
      </c>
      <c r="J155" s="5" t="inlineStr">
        <is>
          <t>/jee/cutoff</t>
        </is>
      </c>
      <c r="K155" s="5" t="inlineStr">
        <is>
          <t>Examine closing ranks, quota distributions, category cutoffs, and recent admission trends for NIT Jalandhar through JoSAA and CSAB.</t>
        </is>
      </c>
      <c r="L155" s="4" t="inlineStr">
        <is>
          <t>YES</t>
        </is>
      </c>
      <c r="M155" s="4" t="inlineStr">
        <is>
          <t>MEDIUM</t>
        </is>
      </c>
      <c r="N155" s="4" t="inlineStr">
        <is>
          <t>READY</t>
        </is>
      </c>
      <c r="O155" s="5" t="inlineStr"/>
      <c r="P155" s="5" t="inlineStr"/>
      <c r="Q155" s="5" t="inlineStr"/>
      <c r="R155" s="5" t="inlineStr"/>
    </row>
    <row r="156" ht="20" customHeight="1">
      <c r="A156" s="2" t="inlineStr">
        <is>
          <t>ST155</t>
        </is>
      </c>
      <c r="B156" s="3" t="inlineStr">
        <is>
          <t>NIT Hamirpur Cutoff Explorer: Branch-Wise Closing Ranks and Admission Guide</t>
        </is>
      </c>
      <c r="C156" s="2" t="inlineStr">
        <is>
          <t>JEE</t>
        </is>
      </c>
      <c r="D156" s="3" t="inlineStr">
        <is>
          <t>College Prediction</t>
        </is>
      </c>
      <c r="E156" s="2" t="inlineStr">
        <is>
          <t>Guide</t>
        </is>
      </c>
      <c r="F156" s="2" t="inlineStr">
        <is>
          <t>Reference</t>
        </is>
      </c>
      <c r="G156" s="3" t="inlineStr">
        <is>
          <t>nit hamirpur cutoff ranks</t>
        </is>
      </c>
      <c r="H156" s="3" t="inlineStr">
        <is>
          <t>nit hamirpur cse cutoff, nit hamirpur admission rank</t>
        </is>
      </c>
      <c r="I156" s="3" t="inlineStr">
        <is>
          <t>JEE Cutoff Explorer</t>
        </is>
      </c>
      <c r="J156" s="3" t="inlineStr">
        <is>
          <t>/jee/cutoff</t>
        </is>
      </c>
      <c r="K156" s="3" t="inlineStr">
        <is>
          <t>Examine closing ranks, quota distributions, category cutoffs, and recent admission trends for NIT Hamirpur through JoSAA and CSAB.</t>
        </is>
      </c>
      <c r="L156" s="2" t="inlineStr">
        <is>
          <t>YES</t>
        </is>
      </c>
      <c r="M156" s="2" t="inlineStr">
        <is>
          <t>MEDIUM</t>
        </is>
      </c>
      <c r="N156" s="2" t="inlineStr">
        <is>
          <t>READY</t>
        </is>
      </c>
      <c r="O156" s="3" t="inlineStr"/>
      <c r="P156" s="3" t="inlineStr"/>
      <c r="Q156" s="3" t="inlineStr"/>
      <c r="R156" s="3" t="inlineStr"/>
    </row>
    <row r="157" ht="20" customHeight="1">
      <c r="A157" s="4" t="inlineStr">
        <is>
          <t>ST156</t>
        </is>
      </c>
      <c r="B157" s="5" t="inlineStr">
        <is>
          <t>NIT Patna Cutoff Explorer: Branch-Wise Closing Ranks and Admission Guide</t>
        </is>
      </c>
      <c r="C157" s="4" t="inlineStr">
        <is>
          <t>JEE</t>
        </is>
      </c>
      <c r="D157" s="5" t="inlineStr">
        <is>
          <t>College Prediction</t>
        </is>
      </c>
      <c r="E157" s="4" t="inlineStr">
        <is>
          <t>Guide</t>
        </is>
      </c>
      <c r="F157" s="4" t="inlineStr">
        <is>
          <t>Reference</t>
        </is>
      </c>
      <c r="G157" s="5" t="inlineStr">
        <is>
          <t>nit patna cutoff ranks</t>
        </is>
      </c>
      <c r="H157" s="5" t="inlineStr">
        <is>
          <t>nit patna cse cutoff, nit patna closing rank josaa</t>
        </is>
      </c>
      <c r="I157" s="5" t="inlineStr">
        <is>
          <t>JEE Cutoff Explorer</t>
        </is>
      </c>
      <c r="J157" s="5" t="inlineStr">
        <is>
          <t>/jee/cutoff</t>
        </is>
      </c>
      <c r="K157" s="5" t="inlineStr">
        <is>
          <t>Examine closing ranks, quota distributions, category cutoffs, and recent admission trends for NIT Patna through JoSAA and CSAB.</t>
        </is>
      </c>
      <c r="L157" s="4" t="inlineStr">
        <is>
          <t>YES</t>
        </is>
      </c>
      <c r="M157" s="4" t="inlineStr">
        <is>
          <t>MEDIUM</t>
        </is>
      </c>
      <c r="N157" s="4" t="inlineStr">
        <is>
          <t>READY</t>
        </is>
      </c>
      <c r="O157" s="5" t="inlineStr"/>
      <c r="P157" s="5" t="inlineStr"/>
      <c r="Q157" s="5" t="inlineStr"/>
      <c r="R157" s="5" t="inlineStr"/>
    </row>
    <row r="158" ht="20" customHeight="1">
      <c r="A158" s="2" t="inlineStr">
        <is>
          <t>ST157</t>
        </is>
      </c>
      <c r="B158" s="3" t="inlineStr">
        <is>
          <t>NIT Raipur Cutoff Explorer: Branch-Wise Closing Ranks and Admission Guide</t>
        </is>
      </c>
      <c r="C158" s="2" t="inlineStr">
        <is>
          <t>JEE</t>
        </is>
      </c>
      <c r="D158" s="3" t="inlineStr">
        <is>
          <t>College Prediction</t>
        </is>
      </c>
      <c r="E158" s="2" t="inlineStr">
        <is>
          <t>Guide</t>
        </is>
      </c>
      <c r="F158" s="2" t="inlineStr">
        <is>
          <t>Reference</t>
        </is>
      </c>
      <c r="G158" s="3" t="inlineStr">
        <is>
          <t>nit raipur cutoff ranks</t>
        </is>
      </c>
      <c r="H158" s="3" t="inlineStr">
        <is>
          <t>nit raipur cse cutoff, nit raipur admission rank</t>
        </is>
      </c>
      <c r="I158" s="3" t="inlineStr">
        <is>
          <t>JEE Cutoff Explorer</t>
        </is>
      </c>
      <c r="J158" s="3" t="inlineStr">
        <is>
          <t>/jee/cutoff</t>
        </is>
      </c>
      <c r="K158" s="3" t="inlineStr">
        <is>
          <t>Examine closing ranks, quota distributions, category cutoffs, and recent admission trends for NIT Raipur through JoSAA and CSAB.</t>
        </is>
      </c>
      <c r="L158" s="2" t="inlineStr">
        <is>
          <t>YES</t>
        </is>
      </c>
      <c r="M158" s="2" t="inlineStr">
        <is>
          <t>MEDIUM</t>
        </is>
      </c>
      <c r="N158" s="2" t="inlineStr">
        <is>
          <t>READY</t>
        </is>
      </c>
      <c r="O158" s="3" t="inlineStr"/>
      <c r="P158" s="3" t="inlineStr"/>
      <c r="Q158" s="3" t="inlineStr"/>
      <c r="R158" s="3" t="inlineStr"/>
    </row>
    <row r="159" ht="20" customHeight="1">
      <c r="A159" s="4" t="inlineStr">
        <is>
          <t>ST158</t>
        </is>
      </c>
      <c r="B159" s="5" t="inlineStr">
        <is>
          <t>NIT Goa Cutoff Explorer: Branch-Wise Closing Ranks and Admission Guide</t>
        </is>
      </c>
      <c r="C159" s="4" t="inlineStr">
        <is>
          <t>JEE</t>
        </is>
      </c>
      <c r="D159" s="5" t="inlineStr">
        <is>
          <t>College Prediction</t>
        </is>
      </c>
      <c r="E159" s="4" t="inlineStr">
        <is>
          <t>Guide</t>
        </is>
      </c>
      <c r="F159" s="4" t="inlineStr">
        <is>
          <t>Reference</t>
        </is>
      </c>
      <c r="G159" s="5" t="inlineStr">
        <is>
          <t>nit goa cutoff ranks</t>
        </is>
      </c>
      <c r="H159" s="5" t="inlineStr">
        <is>
          <t>nit goa cse cutoff, nit goa closing rank josaa</t>
        </is>
      </c>
      <c r="I159" s="5" t="inlineStr">
        <is>
          <t>JEE Cutoff Explorer</t>
        </is>
      </c>
      <c r="J159" s="5" t="inlineStr">
        <is>
          <t>/jee/cutoff</t>
        </is>
      </c>
      <c r="K159" s="5" t="inlineStr">
        <is>
          <t>Examine closing ranks, quota distributions, category cutoffs, and recent admission trends for NIT Goa through JoSAA and CSAB.</t>
        </is>
      </c>
      <c r="L159" s="4" t="inlineStr">
        <is>
          <t>YES</t>
        </is>
      </c>
      <c r="M159" s="4" t="inlineStr">
        <is>
          <t>MEDIUM</t>
        </is>
      </c>
      <c r="N159" s="4" t="inlineStr">
        <is>
          <t>READY</t>
        </is>
      </c>
      <c r="O159" s="5" t="inlineStr"/>
      <c r="P159" s="5" t="inlineStr"/>
      <c r="Q159" s="5" t="inlineStr"/>
      <c r="R159" s="5" t="inlineStr"/>
    </row>
    <row r="160" ht="20" customHeight="1">
      <c r="A160" s="2" t="inlineStr">
        <is>
          <t>ST159</t>
        </is>
      </c>
      <c r="B160" s="3" t="inlineStr">
        <is>
          <t>NIT Srinagar Cutoff Explorer: Branch-Wise Closing Ranks and Admission Guide</t>
        </is>
      </c>
      <c r="C160" s="2" t="inlineStr">
        <is>
          <t>JEE</t>
        </is>
      </c>
      <c r="D160" s="3" t="inlineStr">
        <is>
          <t>College Prediction</t>
        </is>
      </c>
      <c r="E160" s="2" t="inlineStr">
        <is>
          <t>Guide</t>
        </is>
      </c>
      <c r="F160" s="2" t="inlineStr">
        <is>
          <t>Reference</t>
        </is>
      </c>
      <c r="G160" s="3" t="inlineStr">
        <is>
          <t>nit srinagar cutoff ranks</t>
        </is>
      </c>
      <c r="H160" s="3" t="inlineStr">
        <is>
          <t>nit srinagar cse cutoff, nit srinagar admission rank</t>
        </is>
      </c>
      <c r="I160" s="3" t="inlineStr">
        <is>
          <t>JEE Cutoff Explorer</t>
        </is>
      </c>
      <c r="J160" s="3" t="inlineStr">
        <is>
          <t>/jee/cutoff</t>
        </is>
      </c>
      <c r="K160" s="3" t="inlineStr">
        <is>
          <t>Examine closing ranks, quota distributions, category cutoffs, and recent admission trends for NIT Srinagar through JoSAA and CSAB.</t>
        </is>
      </c>
      <c r="L160" s="2" t="inlineStr">
        <is>
          <t>YES</t>
        </is>
      </c>
      <c r="M160" s="2" t="inlineStr">
        <is>
          <t>MEDIUM</t>
        </is>
      </c>
      <c r="N160" s="2" t="inlineStr">
        <is>
          <t>READY</t>
        </is>
      </c>
      <c r="O160" s="3" t="inlineStr"/>
      <c r="P160" s="3" t="inlineStr"/>
      <c r="Q160" s="3" t="inlineStr"/>
      <c r="R160" s="3" t="inlineStr"/>
    </row>
    <row r="161" ht="20" customHeight="1">
      <c r="A161" s="4" t="inlineStr">
        <is>
          <t>ST160</t>
        </is>
      </c>
      <c r="B161" s="5" t="inlineStr">
        <is>
          <t>NIT Agartala Cutoff Explorer: Branch-Wise Closing Ranks and Admission Guide</t>
        </is>
      </c>
      <c r="C161" s="4" t="inlineStr">
        <is>
          <t>JEE</t>
        </is>
      </c>
      <c r="D161" s="5" t="inlineStr">
        <is>
          <t>College Prediction</t>
        </is>
      </c>
      <c r="E161" s="4" t="inlineStr">
        <is>
          <t>Guide</t>
        </is>
      </c>
      <c r="F161" s="4" t="inlineStr">
        <is>
          <t>Reference</t>
        </is>
      </c>
      <c r="G161" s="5" t="inlineStr">
        <is>
          <t>nit agartala cutoff ranks</t>
        </is>
      </c>
      <c r="H161" s="5" t="inlineStr">
        <is>
          <t>nit agartala cse cutoff, nit agartala closing rank</t>
        </is>
      </c>
      <c r="I161" s="5" t="inlineStr">
        <is>
          <t>JEE Cutoff Explorer</t>
        </is>
      </c>
      <c r="J161" s="5" t="inlineStr">
        <is>
          <t>/jee/cutoff</t>
        </is>
      </c>
      <c r="K161" s="5" t="inlineStr">
        <is>
          <t>Examine closing ranks, quota distributions, category cutoffs, and recent admission trends for NIT Agartala through JoSAA and CSAB.</t>
        </is>
      </c>
      <c r="L161" s="4" t="inlineStr">
        <is>
          <t>YES</t>
        </is>
      </c>
      <c r="M161" s="4" t="inlineStr">
        <is>
          <t>MEDIUM</t>
        </is>
      </c>
      <c r="N161" s="4" t="inlineStr">
        <is>
          <t>READY</t>
        </is>
      </c>
      <c r="O161" s="5" t="inlineStr"/>
      <c r="P161" s="5" t="inlineStr"/>
      <c r="Q161" s="5" t="inlineStr"/>
      <c r="R161" s="5" t="inlineStr"/>
    </row>
    <row r="162" ht="20" customHeight="1">
      <c r="A162" s="2" t="inlineStr">
        <is>
          <t>ST161</t>
        </is>
      </c>
      <c r="B162" s="3" t="inlineStr">
        <is>
          <t>NIT Meghalaya Cutoff Explorer: Branch-Wise Closing Ranks and Admission Guide</t>
        </is>
      </c>
      <c r="C162" s="2" t="inlineStr">
        <is>
          <t>JEE</t>
        </is>
      </c>
      <c r="D162" s="3" t="inlineStr">
        <is>
          <t>College Prediction</t>
        </is>
      </c>
      <c r="E162" s="2" t="inlineStr">
        <is>
          <t>Guide</t>
        </is>
      </c>
      <c r="F162" s="2" t="inlineStr">
        <is>
          <t>Reference</t>
        </is>
      </c>
      <c r="G162" s="3" t="inlineStr">
        <is>
          <t>nit meghalaya cutoff ranks</t>
        </is>
      </c>
      <c r="H162" s="3" t="inlineStr">
        <is>
          <t>nit meghalaya cse cutoff, nit meghalaya admission rank</t>
        </is>
      </c>
      <c r="I162" s="3" t="inlineStr">
        <is>
          <t>JEE Cutoff Explorer</t>
        </is>
      </c>
      <c r="J162" s="3" t="inlineStr">
        <is>
          <t>/jee/cutoff</t>
        </is>
      </c>
      <c r="K162" s="3" t="inlineStr">
        <is>
          <t>Examine closing ranks, quota distributions, category cutoffs, and recent admission trends for NIT Meghalaya through JoSAA and CSAB.</t>
        </is>
      </c>
      <c r="L162" s="2" t="inlineStr">
        <is>
          <t>YES</t>
        </is>
      </c>
      <c r="M162" s="2" t="inlineStr">
        <is>
          <t>LOW</t>
        </is>
      </c>
      <c r="N162" s="2" t="inlineStr">
        <is>
          <t>READY</t>
        </is>
      </c>
      <c r="O162" s="3" t="inlineStr"/>
      <c r="P162" s="3" t="inlineStr"/>
      <c r="Q162" s="3" t="inlineStr"/>
      <c r="R162" s="3" t="inlineStr"/>
    </row>
    <row r="163" ht="20" customHeight="1">
      <c r="A163" s="4" t="inlineStr">
        <is>
          <t>ST162</t>
        </is>
      </c>
      <c r="B163" s="5" t="inlineStr">
        <is>
          <t>NIT Puducherry Cutoff Explorer: Branch-Wise Closing Ranks and Admission Guide</t>
        </is>
      </c>
      <c r="C163" s="4" t="inlineStr">
        <is>
          <t>JEE</t>
        </is>
      </c>
      <c r="D163" s="5" t="inlineStr">
        <is>
          <t>College Prediction</t>
        </is>
      </c>
      <c r="E163" s="4" t="inlineStr">
        <is>
          <t>Guide</t>
        </is>
      </c>
      <c r="F163" s="4" t="inlineStr">
        <is>
          <t>Reference</t>
        </is>
      </c>
      <c r="G163" s="5" t="inlineStr">
        <is>
          <t>nit puducherry cutoff ranks</t>
        </is>
      </c>
      <c r="H163" s="5" t="inlineStr">
        <is>
          <t>nit puducherry cse cutoff, nit puducherry closing rank</t>
        </is>
      </c>
      <c r="I163" s="5" t="inlineStr">
        <is>
          <t>JEE Cutoff Explorer</t>
        </is>
      </c>
      <c r="J163" s="5" t="inlineStr">
        <is>
          <t>/jee/cutoff</t>
        </is>
      </c>
      <c r="K163" s="5" t="inlineStr">
        <is>
          <t>Examine closing ranks, quota distributions, category cutoffs, and recent admission trends for NIT Puducherry through JoSAA and CSAB.</t>
        </is>
      </c>
      <c r="L163" s="4" t="inlineStr">
        <is>
          <t>YES</t>
        </is>
      </c>
      <c r="M163" s="4" t="inlineStr">
        <is>
          <t>LOW</t>
        </is>
      </c>
      <c r="N163" s="4" t="inlineStr">
        <is>
          <t>READY</t>
        </is>
      </c>
      <c r="O163" s="5" t="inlineStr"/>
      <c r="P163" s="5" t="inlineStr"/>
      <c r="Q163" s="5" t="inlineStr"/>
      <c r="R163" s="5" t="inlineStr"/>
    </row>
    <row r="164" ht="20" customHeight="1">
      <c r="A164" s="2" t="inlineStr">
        <is>
          <t>ST163</t>
        </is>
      </c>
      <c r="B164" s="3" t="inlineStr">
        <is>
          <t>NIT Uttarakhand Cutoff Explorer: Branch-Wise Closing Ranks and Admission Guide</t>
        </is>
      </c>
      <c r="C164" s="2" t="inlineStr">
        <is>
          <t>JEE</t>
        </is>
      </c>
      <c r="D164" s="3" t="inlineStr">
        <is>
          <t>College Prediction</t>
        </is>
      </c>
      <c r="E164" s="2" t="inlineStr">
        <is>
          <t>Guide</t>
        </is>
      </c>
      <c r="F164" s="2" t="inlineStr">
        <is>
          <t>Reference</t>
        </is>
      </c>
      <c r="G164" s="3" t="inlineStr">
        <is>
          <t>nit uttarakhand cutoff ranks</t>
        </is>
      </c>
      <c r="H164" s="3" t="inlineStr">
        <is>
          <t>nit uttarakhand cse cutoff, nit uttarakhand admission rank</t>
        </is>
      </c>
      <c r="I164" s="3" t="inlineStr">
        <is>
          <t>JEE Cutoff Explorer</t>
        </is>
      </c>
      <c r="J164" s="3" t="inlineStr">
        <is>
          <t>/jee/cutoff</t>
        </is>
      </c>
      <c r="K164" s="3" t="inlineStr">
        <is>
          <t>Examine closing ranks, quota distributions, category cutoffs, and recent admission trends for NIT Uttarakhand through JoSAA and CSAB.</t>
        </is>
      </c>
      <c r="L164" s="2" t="inlineStr">
        <is>
          <t>YES</t>
        </is>
      </c>
      <c r="M164" s="2" t="inlineStr">
        <is>
          <t>LOW</t>
        </is>
      </c>
      <c r="N164" s="2" t="inlineStr">
        <is>
          <t>READY</t>
        </is>
      </c>
      <c r="O164" s="3" t="inlineStr"/>
      <c r="P164" s="3" t="inlineStr"/>
      <c r="Q164" s="3" t="inlineStr"/>
      <c r="R164" s="3" t="inlineStr"/>
    </row>
    <row r="165" ht="20" customHeight="1">
      <c r="A165" s="4" t="inlineStr">
        <is>
          <t>ST164</t>
        </is>
      </c>
      <c r="B165" s="5" t="inlineStr">
        <is>
          <t>NIT Andhra Pradesh Cutoff Explorer: Branch-Wise Closing Ranks and Admission Guide</t>
        </is>
      </c>
      <c r="C165" s="4" t="inlineStr">
        <is>
          <t>JEE</t>
        </is>
      </c>
      <c r="D165" s="5" t="inlineStr">
        <is>
          <t>College Prediction</t>
        </is>
      </c>
      <c r="E165" s="4" t="inlineStr">
        <is>
          <t>Guide</t>
        </is>
      </c>
      <c r="F165" s="4" t="inlineStr">
        <is>
          <t>Reference</t>
        </is>
      </c>
      <c r="G165" s="5" t="inlineStr">
        <is>
          <t>nit andhra pradesh cutoff ranks</t>
        </is>
      </c>
      <c r="H165" s="5" t="inlineStr">
        <is>
          <t>nit ap cse cutoff, nit andhra closing rank</t>
        </is>
      </c>
      <c r="I165" s="5" t="inlineStr">
        <is>
          <t>JEE Cutoff Explorer</t>
        </is>
      </c>
      <c r="J165" s="5" t="inlineStr">
        <is>
          <t>/jee/cutoff</t>
        </is>
      </c>
      <c r="K165" s="5" t="inlineStr">
        <is>
          <t>Examine closing ranks, quota distributions, category cutoffs, and recent admission trends for NIT Andhra Pradesh through JoSAA and CSAB.</t>
        </is>
      </c>
      <c r="L165" s="4" t="inlineStr">
        <is>
          <t>YES</t>
        </is>
      </c>
      <c r="M165" s="4" t="inlineStr">
        <is>
          <t>MEDIUM</t>
        </is>
      </c>
      <c r="N165" s="4" t="inlineStr">
        <is>
          <t>READY</t>
        </is>
      </c>
      <c r="O165" s="5" t="inlineStr"/>
      <c r="P165" s="5" t="inlineStr"/>
      <c r="Q165" s="5" t="inlineStr"/>
      <c r="R165" s="5" t="inlineStr"/>
    </row>
    <row r="166" ht="20" customHeight="1">
      <c r="A166" s="2" t="inlineStr">
        <is>
          <t>ST165</t>
        </is>
      </c>
      <c r="B166" s="3" t="inlineStr">
        <is>
          <t>IIIT Hyderabad Cutoff Explorer: Branch-Wise Closing Ranks and Admission Guide</t>
        </is>
      </c>
      <c r="C166" s="2" t="inlineStr">
        <is>
          <t>JEE</t>
        </is>
      </c>
      <c r="D166" s="3" t="inlineStr">
        <is>
          <t>College Prediction</t>
        </is>
      </c>
      <c r="E166" s="2" t="inlineStr">
        <is>
          <t>Guide</t>
        </is>
      </c>
      <c r="F166" s="2" t="inlineStr">
        <is>
          <t>Reference</t>
        </is>
      </c>
      <c r="G166" s="3" t="inlineStr">
        <is>
          <t>iiit hyderabad jee main cutoff</t>
        </is>
      </c>
      <c r="H166" s="3" t="inlineStr">
        <is>
          <t>iiit hyderabad cse cutoff, iiit hyderabad admission through jee</t>
        </is>
      </c>
      <c r="I166" s="3" t="inlineStr">
        <is>
          <t>JEE Cutoff Explorer</t>
        </is>
      </c>
      <c r="J166" s="3" t="inlineStr">
        <is>
          <t>/jee/cutoff</t>
        </is>
      </c>
      <c r="K166" s="3" t="inlineStr">
        <is>
          <t>Examine closing ranks, quota distributions, category cutoffs, and recent admission trends for IIIT Hyderabad through JoSAA and CSAB.</t>
        </is>
      </c>
      <c r="L166" s="2" t="inlineStr">
        <is>
          <t>YES</t>
        </is>
      </c>
      <c r="M166" s="2" t="inlineStr">
        <is>
          <t>HIGH</t>
        </is>
      </c>
      <c r="N166" s="2" t="inlineStr">
        <is>
          <t>READY</t>
        </is>
      </c>
      <c r="O166" s="3" t="inlineStr"/>
      <c r="P166" s="3" t="inlineStr"/>
      <c r="Q166" s="3" t="inlineStr"/>
      <c r="R166" s="3" t="inlineStr"/>
    </row>
    <row r="167" ht="20" customHeight="1">
      <c r="A167" s="4" t="inlineStr">
        <is>
          <t>ST166</t>
        </is>
      </c>
      <c r="B167" s="5" t="inlineStr">
        <is>
          <t>IIIT Bangalore Cutoff Explorer: Branch-Wise Closing Ranks and Admission Guide</t>
        </is>
      </c>
      <c r="C167" s="4" t="inlineStr">
        <is>
          <t>JEE</t>
        </is>
      </c>
      <c r="D167" s="5" t="inlineStr">
        <is>
          <t>College Prediction</t>
        </is>
      </c>
      <c r="E167" s="4" t="inlineStr">
        <is>
          <t>Guide</t>
        </is>
      </c>
      <c r="F167" s="4" t="inlineStr">
        <is>
          <t>Reference</t>
        </is>
      </c>
      <c r="G167" s="5" t="inlineStr">
        <is>
          <t>iiit bangalore cutoff jee main</t>
        </is>
      </c>
      <c r="H167" s="5" t="inlineStr">
        <is>
          <t>iiit bangalore cse cutoff, iiit bangalore admission rank</t>
        </is>
      </c>
      <c r="I167" s="5" t="inlineStr">
        <is>
          <t>JEE Cutoff Explorer</t>
        </is>
      </c>
      <c r="J167" s="5" t="inlineStr">
        <is>
          <t>/jee/cutoff</t>
        </is>
      </c>
      <c r="K167" s="5" t="inlineStr">
        <is>
          <t>Examine closing ranks, quota distributions, category cutoffs, and recent admission trends for IIIT Bangalore through JoSAA and CSAB.</t>
        </is>
      </c>
      <c r="L167" s="4" t="inlineStr">
        <is>
          <t>YES</t>
        </is>
      </c>
      <c r="M167" s="4" t="inlineStr">
        <is>
          <t>HIGH</t>
        </is>
      </c>
      <c r="N167" s="4" t="inlineStr">
        <is>
          <t>READY</t>
        </is>
      </c>
      <c r="O167" s="5" t="inlineStr"/>
      <c r="P167" s="5" t="inlineStr"/>
      <c r="Q167" s="5" t="inlineStr"/>
      <c r="R167" s="5" t="inlineStr"/>
    </row>
    <row r="168" ht="20" customHeight="1">
      <c r="A168" s="2" t="inlineStr">
        <is>
          <t>ST167</t>
        </is>
      </c>
      <c r="B168" s="3" t="inlineStr">
        <is>
          <t>IIIT Allahabad Cutoff Explorer: Branch-Wise Closing Ranks and Admission Guide</t>
        </is>
      </c>
      <c r="C168" s="2" t="inlineStr">
        <is>
          <t>JEE</t>
        </is>
      </c>
      <c r="D168" s="3" t="inlineStr">
        <is>
          <t>College Prediction</t>
        </is>
      </c>
      <c r="E168" s="2" t="inlineStr">
        <is>
          <t>Guide</t>
        </is>
      </c>
      <c r="F168" s="2" t="inlineStr">
        <is>
          <t>Reference</t>
        </is>
      </c>
      <c r="G168" s="3" t="inlineStr">
        <is>
          <t>iiit allahabad cutoff ranks</t>
        </is>
      </c>
      <c r="H168" s="3" t="inlineStr">
        <is>
          <t>iiit allahabad it closing rank, iiit allahabad josaa cutoff</t>
        </is>
      </c>
      <c r="I168" s="3" t="inlineStr">
        <is>
          <t>JEE Cutoff Explorer</t>
        </is>
      </c>
      <c r="J168" s="3" t="inlineStr">
        <is>
          <t>/jee/cutoff</t>
        </is>
      </c>
      <c r="K168" s="3" t="inlineStr">
        <is>
          <t>Examine closing ranks, quota distributions, category cutoffs, and recent admission trends for IIIT Allahabad through JoSAA and CSAB.</t>
        </is>
      </c>
      <c r="L168" s="2" t="inlineStr">
        <is>
          <t>YES</t>
        </is>
      </c>
      <c r="M168" s="2" t="inlineStr">
        <is>
          <t>HIGH</t>
        </is>
      </c>
      <c r="N168" s="2" t="inlineStr">
        <is>
          <t>READY</t>
        </is>
      </c>
      <c r="O168" s="3" t="inlineStr"/>
      <c r="P168" s="3" t="inlineStr"/>
      <c r="Q168" s="3" t="inlineStr"/>
      <c r="R168" s="3" t="inlineStr"/>
    </row>
    <row r="169" ht="20" customHeight="1">
      <c r="A169" s="4" t="inlineStr">
        <is>
          <t>ST168</t>
        </is>
      </c>
      <c r="B169" s="5" t="inlineStr">
        <is>
          <t>IIIT Delhi Cutoff Explorer: Branch-Wise Closing Ranks and Admission Guide</t>
        </is>
      </c>
      <c r="C169" s="4" t="inlineStr">
        <is>
          <t>JEE</t>
        </is>
      </c>
      <c r="D169" s="5" t="inlineStr">
        <is>
          <t>College Prediction</t>
        </is>
      </c>
      <c r="E169" s="4" t="inlineStr">
        <is>
          <t>Guide</t>
        </is>
      </c>
      <c r="F169" s="4" t="inlineStr">
        <is>
          <t>Reference</t>
        </is>
      </c>
      <c r="G169" s="5" t="inlineStr">
        <is>
          <t>iiit delhi jac cutoff ranks</t>
        </is>
      </c>
      <c r="H169" s="5" t="inlineStr">
        <is>
          <t>iiit delhi cse cutoff, iiit delhi admission rank jee</t>
        </is>
      </c>
      <c r="I169" s="5" t="inlineStr">
        <is>
          <t>JEE Cutoff Explorer</t>
        </is>
      </c>
      <c r="J169" s="5" t="inlineStr">
        <is>
          <t>/jee/cutoff</t>
        </is>
      </c>
      <c r="K169" s="5" t="inlineStr">
        <is>
          <t>Examine closing ranks, quota distributions, category cutoffs, and recent admission trends for IIIT Delhi through JoSAA and CSAB.</t>
        </is>
      </c>
      <c r="L169" s="4" t="inlineStr">
        <is>
          <t>YES</t>
        </is>
      </c>
      <c r="M169" s="4" t="inlineStr">
        <is>
          <t>HIGH</t>
        </is>
      </c>
      <c r="N169" s="4" t="inlineStr">
        <is>
          <t>READY</t>
        </is>
      </c>
      <c r="O169" s="5" t="inlineStr"/>
      <c r="P169" s="5" t="inlineStr"/>
      <c r="Q169" s="5" t="inlineStr"/>
      <c r="R169" s="5" t="inlineStr"/>
    </row>
    <row r="170" ht="20" customHeight="1">
      <c r="A170" s="2" t="inlineStr">
        <is>
          <t>ST169</t>
        </is>
      </c>
      <c r="B170" s="3" t="inlineStr">
        <is>
          <t>IIIT Gwalior Cutoff Explorer: Branch-Wise Closing Ranks and Admission Guide</t>
        </is>
      </c>
      <c r="C170" s="2" t="inlineStr">
        <is>
          <t>JEE</t>
        </is>
      </c>
      <c r="D170" s="3" t="inlineStr">
        <is>
          <t>College Prediction</t>
        </is>
      </c>
      <c r="E170" s="2" t="inlineStr">
        <is>
          <t>Guide</t>
        </is>
      </c>
      <c r="F170" s="2" t="inlineStr">
        <is>
          <t>Reference</t>
        </is>
      </c>
      <c r="G170" s="3" t="inlineStr">
        <is>
          <t>iiit gwalior cutoff ranks</t>
        </is>
      </c>
      <c r="H170" s="3" t="inlineStr">
        <is>
          <t>iiit gwalior cse cutoff, iiit gwalior closing rank</t>
        </is>
      </c>
      <c r="I170" s="3" t="inlineStr">
        <is>
          <t>JEE Cutoff Explorer</t>
        </is>
      </c>
      <c r="J170" s="3" t="inlineStr">
        <is>
          <t>/jee/cutoff</t>
        </is>
      </c>
      <c r="K170" s="3" t="inlineStr">
        <is>
          <t>Examine closing ranks, quota distributions, category cutoffs, and recent admission trends for IIIT Gwalior through JoSAA and CSAB.</t>
        </is>
      </c>
      <c r="L170" s="2" t="inlineStr">
        <is>
          <t>YES</t>
        </is>
      </c>
      <c r="M170" s="2" t="inlineStr">
        <is>
          <t>MEDIUM</t>
        </is>
      </c>
      <c r="N170" s="2" t="inlineStr">
        <is>
          <t>READY</t>
        </is>
      </c>
      <c r="O170" s="3" t="inlineStr"/>
      <c r="P170" s="3" t="inlineStr"/>
      <c r="Q170" s="3" t="inlineStr"/>
      <c r="R170" s="3" t="inlineStr"/>
    </row>
    <row r="171" ht="20" customHeight="1">
      <c r="A171" s="4" t="inlineStr">
        <is>
          <t>ST170</t>
        </is>
      </c>
      <c r="B171" s="5" t="inlineStr">
        <is>
          <t>IIIT Jabalpur Cutoff Explorer: Branch-Wise Closing Ranks and Admission Guide</t>
        </is>
      </c>
      <c r="C171" s="4" t="inlineStr">
        <is>
          <t>JEE</t>
        </is>
      </c>
      <c r="D171" s="5" t="inlineStr">
        <is>
          <t>College Prediction</t>
        </is>
      </c>
      <c r="E171" s="4" t="inlineStr">
        <is>
          <t>Guide</t>
        </is>
      </c>
      <c r="F171" s="4" t="inlineStr">
        <is>
          <t>Reference</t>
        </is>
      </c>
      <c r="G171" s="5" t="inlineStr">
        <is>
          <t>iiit jabalpur cutoff ranks</t>
        </is>
      </c>
      <c r="H171" s="5" t="inlineStr">
        <is>
          <t>iiit jabalpur cse cutoff, iiit jabalpur closing rank</t>
        </is>
      </c>
      <c r="I171" s="5" t="inlineStr">
        <is>
          <t>JEE Cutoff Explorer</t>
        </is>
      </c>
      <c r="J171" s="5" t="inlineStr">
        <is>
          <t>/jee/cutoff</t>
        </is>
      </c>
      <c r="K171" s="5" t="inlineStr">
        <is>
          <t>Examine closing ranks, quota distributions, category cutoffs, and recent admission trends for IIIT Jabalpur through JoSAA and CSAB.</t>
        </is>
      </c>
      <c r="L171" s="4" t="inlineStr">
        <is>
          <t>YES</t>
        </is>
      </c>
      <c r="M171" s="4" t="inlineStr">
        <is>
          <t>MEDIUM</t>
        </is>
      </c>
      <c r="N171" s="4" t="inlineStr">
        <is>
          <t>READY</t>
        </is>
      </c>
      <c r="O171" s="5" t="inlineStr"/>
      <c r="P171" s="5" t="inlineStr"/>
      <c r="Q171" s="5" t="inlineStr"/>
      <c r="R171" s="5" t="inlineStr"/>
    </row>
    <row r="172" ht="20" customHeight="1">
      <c r="A172" s="2" t="inlineStr">
        <is>
          <t>ST171</t>
        </is>
      </c>
      <c r="B172" s="3" t="inlineStr">
        <is>
          <t>IIIT Kancheepuram Cutoff Explorer: Branch-Wise Closing Ranks and Admission Guide</t>
        </is>
      </c>
      <c r="C172" s="2" t="inlineStr">
        <is>
          <t>JEE</t>
        </is>
      </c>
      <c r="D172" s="3" t="inlineStr">
        <is>
          <t>College Prediction</t>
        </is>
      </c>
      <c r="E172" s="2" t="inlineStr">
        <is>
          <t>Guide</t>
        </is>
      </c>
      <c r="F172" s="2" t="inlineStr">
        <is>
          <t>Reference</t>
        </is>
      </c>
      <c r="G172" s="3" t="inlineStr">
        <is>
          <t>iiit kancheepuram cutoff ranks</t>
        </is>
      </c>
      <c r="H172" s="3" t="inlineStr">
        <is>
          <t>iiit kancheepuram cse cutoff, iiit dm closing rank</t>
        </is>
      </c>
      <c r="I172" s="3" t="inlineStr">
        <is>
          <t>JEE Cutoff Explorer</t>
        </is>
      </c>
      <c r="J172" s="3" t="inlineStr">
        <is>
          <t>/jee/cutoff</t>
        </is>
      </c>
      <c r="K172" s="3" t="inlineStr">
        <is>
          <t>Examine closing ranks, quota distributions, category cutoffs, and recent admission trends for IIIT Kancheepuram through JoSAA and CSAB.</t>
        </is>
      </c>
      <c r="L172" s="2" t="inlineStr">
        <is>
          <t>YES</t>
        </is>
      </c>
      <c r="M172" s="2" t="inlineStr">
        <is>
          <t>MEDIUM</t>
        </is>
      </c>
      <c r="N172" s="2" t="inlineStr">
        <is>
          <t>READY</t>
        </is>
      </c>
      <c r="O172" s="3" t="inlineStr"/>
      <c r="P172" s="3" t="inlineStr"/>
      <c r="Q172" s="3" t="inlineStr"/>
      <c r="R172" s="3" t="inlineStr"/>
    </row>
    <row r="173" ht="20" customHeight="1">
      <c r="A173" s="4" t="inlineStr">
        <is>
          <t>ST172</t>
        </is>
      </c>
      <c r="B173" s="5" t="inlineStr">
        <is>
          <t>IIIT Lucknow Cutoff Explorer: Branch-Wise Closing Ranks and Admission Guide</t>
        </is>
      </c>
      <c r="C173" s="4" t="inlineStr">
        <is>
          <t>JEE</t>
        </is>
      </c>
      <c r="D173" s="5" t="inlineStr">
        <is>
          <t>College Prediction</t>
        </is>
      </c>
      <c r="E173" s="4" t="inlineStr">
        <is>
          <t>Guide</t>
        </is>
      </c>
      <c r="F173" s="4" t="inlineStr">
        <is>
          <t>Reference</t>
        </is>
      </c>
      <c r="G173" s="5" t="inlineStr">
        <is>
          <t>iiit lucknow cutoff ranks</t>
        </is>
      </c>
      <c r="H173" s="5" t="inlineStr">
        <is>
          <t>iiit lucknow cse closing rank, iiit lucknow placement and cutoff</t>
        </is>
      </c>
      <c r="I173" s="5" t="inlineStr">
        <is>
          <t>JEE Cutoff Explorer</t>
        </is>
      </c>
      <c r="J173" s="5" t="inlineStr">
        <is>
          <t>/jee/cutoff</t>
        </is>
      </c>
      <c r="K173" s="5" t="inlineStr">
        <is>
          <t>Examine closing ranks, quota distributions, category cutoffs, and recent admission trends for IIIT Lucknow through JoSAA and CSAB.</t>
        </is>
      </c>
      <c r="L173" s="4" t="inlineStr">
        <is>
          <t>YES</t>
        </is>
      </c>
      <c r="M173" s="4" t="inlineStr">
        <is>
          <t>HIGH</t>
        </is>
      </c>
      <c r="N173" s="4" t="inlineStr">
        <is>
          <t>READY</t>
        </is>
      </c>
      <c r="O173" s="5" t="inlineStr"/>
      <c r="P173" s="5" t="inlineStr"/>
      <c r="Q173" s="5" t="inlineStr"/>
      <c r="R173" s="5" t="inlineStr"/>
    </row>
    <row r="174" ht="20" customHeight="1">
      <c r="A174" s="2" t="inlineStr">
        <is>
          <t>ST173</t>
        </is>
      </c>
      <c r="B174" s="3" t="inlineStr">
        <is>
          <t>IIIT Sri City Cutoff Explorer: Branch-Wise Closing Ranks and Admission Guide</t>
        </is>
      </c>
      <c r="C174" s="2" t="inlineStr">
        <is>
          <t>JEE</t>
        </is>
      </c>
      <c r="D174" s="3" t="inlineStr">
        <is>
          <t>College Prediction</t>
        </is>
      </c>
      <c r="E174" s="2" t="inlineStr">
        <is>
          <t>Guide</t>
        </is>
      </c>
      <c r="F174" s="2" t="inlineStr">
        <is>
          <t>Reference</t>
        </is>
      </c>
      <c r="G174" s="3" t="inlineStr">
        <is>
          <t>iiit sri city cutoff ranks</t>
        </is>
      </c>
      <c r="H174" s="3" t="inlineStr">
        <is>
          <t>iiit sri city cse cutoff, iiit sri city admission rank</t>
        </is>
      </c>
      <c r="I174" s="3" t="inlineStr">
        <is>
          <t>JEE Cutoff Explorer</t>
        </is>
      </c>
      <c r="J174" s="3" t="inlineStr">
        <is>
          <t>/jee/cutoff</t>
        </is>
      </c>
      <c r="K174" s="3" t="inlineStr">
        <is>
          <t>Examine closing ranks, quota distributions, category cutoffs, and recent admission trends for IIIT Sri City through JoSAA and CSAB.</t>
        </is>
      </c>
      <c r="L174" s="2" t="inlineStr">
        <is>
          <t>YES</t>
        </is>
      </c>
      <c r="M174" s="2" t="inlineStr">
        <is>
          <t>MEDIUM</t>
        </is>
      </c>
      <c r="N174" s="2" t="inlineStr">
        <is>
          <t>READY</t>
        </is>
      </c>
      <c r="O174" s="3" t="inlineStr"/>
      <c r="P174" s="3" t="inlineStr"/>
      <c r="Q174" s="3" t="inlineStr"/>
      <c r="R174" s="3" t="inlineStr"/>
    </row>
    <row r="175" ht="20" customHeight="1">
      <c r="A175" s="4" t="inlineStr">
        <is>
          <t>ST174</t>
        </is>
      </c>
      <c r="B175" s="5" t="inlineStr">
        <is>
          <t>IIIT Vadodara Cutoff Explorer: Branch-Wise Closing Ranks and Admission Guide</t>
        </is>
      </c>
      <c r="C175" s="4" t="inlineStr">
        <is>
          <t>JEE</t>
        </is>
      </c>
      <c r="D175" s="5" t="inlineStr">
        <is>
          <t>College Prediction</t>
        </is>
      </c>
      <c r="E175" s="4" t="inlineStr">
        <is>
          <t>Guide</t>
        </is>
      </c>
      <c r="F175" s="4" t="inlineStr">
        <is>
          <t>Reference</t>
        </is>
      </c>
      <c r="G175" s="5" t="inlineStr">
        <is>
          <t>iiit vadodara cutoff ranks</t>
        </is>
      </c>
      <c r="H175" s="5" t="inlineStr">
        <is>
          <t>iiit vadodara cse cutoff, iiit vadodara closing rank</t>
        </is>
      </c>
      <c r="I175" s="5" t="inlineStr">
        <is>
          <t>JEE Cutoff Explorer</t>
        </is>
      </c>
      <c r="J175" s="5" t="inlineStr">
        <is>
          <t>/jee/cutoff</t>
        </is>
      </c>
      <c r="K175" s="5" t="inlineStr">
        <is>
          <t>Examine closing ranks, quota distributions, category cutoffs, and recent admission trends for IIIT Vadodara through JoSAA and CSAB.</t>
        </is>
      </c>
      <c r="L175" s="4" t="inlineStr">
        <is>
          <t>YES</t>
        </is>
      </c>
      <c r="M175" s="4" t="inlineStr">
        <is>
          <t>MEDIUM</t>
        </is>
      </c>
      <c r="N175" s="4" t="inlineStr">
        <is>
          <t>READY</t>
        </is>
      </c>
      <c r="O175" s="5" t="inlineStr"/>
      <c r="P175" s="5" t="inlineStr"/>
      <c r="Q175" s="5" t="inlineStr"/>
      <c r="R175" s="5" t="inlineStr"/>
    </row>
    <row r="176" ht="20" customHeight="1">
      <c r="A176" s="2" t="inlineStr">
        <is>
          <t>ST175</t>
        </is>
      </c>
      <c r="B176" s="3" t="inlineStr">
        <is>
          <t>IIIT Guwahati Cutoff Explorer: Branch-Wise Closing Ranks and Admission Guide</t>
        </is>
      </c>
      <c r="C176" s="2" t="inlineStr">
        <is>
          <t>JEE</t>
        </is>
      </c>
      <c r="D176" s="3" t="inlineStr">
        <is>
          <t>College Prediction</t>
        </is>
      </c>
      <c r="E176" s="2" t="inlineStr">
        <is>
          <t>Guide</t>
        </is>
      </c>
      <c r="F176" s="2" t="inlineStr">
        <is>
          <t>Reference</t>
        </is>
      </c>
      <c r="G176" s="3" t="inlineStr">
        <is>
          <t>iiit guwahati cutoff ranks</t>
        </is>
      </c>
      <c r="H176" s="3" t="inlineStr">
        <is>
          <t>iiit guwahati cse cutoff, iiit guwahati admission rank</t>
        </is>
      </c>
      <c r="I176" s="3" t="inlineStr">
        <is>
          <t>JEE Cutoff Explorer</t>
        </is>
      </c>
      <c r="J176" s="3" t="inlineStr">
        <is>
          <t>/jee/cutoff</t>
        </is>
      </c>
      <c r="K176" s="3" t="inlineStr">
        <is>
          <t>Examine closing ranks, quota distributions, category cutoffs, and recent admission trends for IIIT Guwahati through JoSAA and CSAB.</t>
        </is>
      </c>
      <c r="L176" s="2" t="inlineStr">
        <is>
          <t>YES</t>
        </is>
      </c>
      <c r="M176" s="2" t="inlineStr">
        <is>
          <t>MEDIUM</t>
        </is>
      </c>
      <c r="N176" s="2" t="inlineStr">
        <is>
          <t>READY</t>
        </is>
      </c>
      <c r="O176" s="3" t="inlineStr"/>
      <c r="P176" s="3" t="inlineStr"/>
      <c r="Q176" s="3" t="inlineStr"/>
      <c r="R176" s="3" t="inlineStr"/>
    </row>
    <row r="177" ht="20" customHeight="1">
      <c r="A177" s="4" t="inlineStr">
        <is>
          <t>ST176</t>
        </is>
      </c>
      <c r="B177" s="5" t="inlineStr">
        <is>
          <t>IIIT Kota Cutoff Explorer: Branch-Wise Closing Ranks and Admission Guide</t>
        </is>
      </c>
      <c r="C177" s="4" t="inlineStr">
        <is>
          <t>JEE</t>
        </is>
      </c>
      <c r="D177" s="5" t="inlineStr">
        <is>
          <t>College Prediction</t>
        </is>
      </c>
      <c r="E177" s="4" t="inlineStr">
        <is>
          <t>Guide</t>
        </is>
      </c>
      <c r="F177" s="4" t="inlineStr">
        <is>
          <t>Reference</t>
        </is>
      </c>
      <c r="G177" s="5" t="inlineStr">
        <is>
          <t>iiit kota cutoff ranks</t>
        </is>
      </c>
      <c r="H177" s="5" t="inlineStr">
        <is>
          <t>iiit kota cse cutoff, iiit kota closing rank josaa</t>
        </is>
      </c>
      <c r="I177" s="5" t="inlineStr">
        <is>
          <t>JEE Cutoff Explorer</t>
        </is>
      </c>
      <c r="J177" s="5" t="inlineStr">
        <is>
          <t>/jee/cutoff</t>
        </is>
      </c>
      <c r="K177" s="5" t="inlineStr">
        <is>
          <t>Examine closing ranks, quota distributions, category cutoffs, and recent admission trends for IIIT Kota through JoSAA and CSAB.</t>
        </is>
      </c>
      <c r="L177" s="4" t="inlineStr">
        <is>
          <t>YES</t>
        </is>
      </c>
      <c r="M177" s="4" t="inlineStr">
        <is>
          <t>MEDIUM</t>
        </is>
      </c>
      <c r="N177" s="4" t="inlineStr">
        <is>
          <t>READY</t>
        </is>
      </c>
      <c r="O177" s="5" t="inlineStr"/>
      <c r="P177" s="5" t="inlineStr"/>
      <c r="Q177" s="5" t="inlineStr"/>
      <c r="R177" s="5" t="inlineStr"/>
    </row>
    <row r="178" ht="20" customHeight="1">
      <c r="A178" s="2" t="inlineStr">
        <is>
          <t>ST177</t>
        </is>
      </c>
      <c r="B178" s="3" t="inlineStr">
        <is>
          <t>DTU Delhi Cutoff Explorer: Branch-Wise Closing Ranks and Admission Guide</t>
        </is>
      </c>
      <c r="C178" s="2" t="inlineStr">
        <is>
          <t>JEE</t>
        </is>
      </c>
      <c r="D178" s="3" t="inlineStr">
        <is>
          <t>College Prediction</t>
        </is>
      </c>
      <c r="E178" s="2" t="inlineStr">
        <is>
          <t>Guide</t>
        </is>
      </c>
      <c r="F178" s="2" t="inlineStr">
        <is>
          <t>Reference</t>
        </is>
      </c>
      <c r="G178" s="3" t="inlineStr">
        <is>
          <t>dtu delhi cutoff jee main</t>
        </is>
      </c>
      <c r="H178" s="3" t="inlineStr">
        <is>
          <t>dtu cse cutoff jac delhi, dtu admission closing rank</t>
        </is>
      </c>
      <c r="I178" s="3" t="inlineStr">
        <is>
          <t>JEE Cutoff Explorer</t>
        </is>
      </c>
      <c r="J178" s="3" t="inlineStr">
        <is>
          <t>/jee/cutoff</t>
        </is>
      </c>
      <c r="K178" s="3" t="inlineStr">
        <is>
          <t>Examine closing ranks, quota distributions, category cutoffs, and recent admission trends for DTU Delhi through JoSAA and CSAB.</t>
        </is>
      </c>
      <c r="L178" s="2" t="inlineStr">
        <is>
          <t>YES</t>
        </is>
      </c>
      <c r="M178" s="2" t="inlineStr">
        <is>
          <t>HIGH</t>
        </is>
      </c>
      <c r="N178" s="2" t="inlineStr">
        <is>
          <t>READY</t>
        </is>
      </c>
      <c r="O178" s="3" t="inlineStr"/>
      <c r="P178" s="3" t="inlineStr"/>
      <c r="Q178" s="3" t="inlineStr"/>
      <c r="R178" s="3" t="inlineStr"/>
    </row>
    <row r="179" ht="20" customHeight="1">
      <c r="A179" s="4" t="inlineStr">
        <is>
          <t>ST178</t>
        </is>
      </c>
      <c r="B179" s="5" t="inlineStr">
        <is>
          <t>NSUT Delhi Cutoff Explorer: Branch-Wise Closing Ranks and Admission Guide</t>
        </is>
      </c>
      <c r="C179" s="4" t="inlineStr">
        <is>
          <t>JEE</t>
        </is>
      </c>
      <c r="D179" s="5" t="inlineStr">
        <is>
          <t>College Prediction</t>
        </is>
      </c>
      <c r="E179" s="4" t="inlineStr">
        <is>
          <t>Guide</t>
        </is>
      </c>
      <c r="F179" s="4" t="inlineStr">
        <is>
          <t>Reference</t>
        </is>
      </c>
      <c r="G179" s="5" t="inlineStr">
        <is>
          <t>nsut delhi cutoff ranks</t>
        </is>
      </c>
      <c r="H179" s="5" t="inlineStr">
        <is>
          <t>nsut cse cutoff, nsut closing rank jac delhi</t>
        </is>
      </c>
      <c r="I179" s="5" t="inlineStr">
        <is>
          <t>JEE Cutoff Explorer</t>
        </is>
      </c>
      <c r="J179" s="5" t="inlineStr">
        <is>
          <t>/jee/cutoff</t>
        </is>
      </c>
      <c r="K179" s="5" t="inlineStr">
        <is>
          <t>Examine closing ranks, quota distributions, category cutoffs, and recent admission trends for NSUT Delhi through JoSAA and CSAB.</t>
        </is>
      </c>
      <c r="L179" s="4" t="inlineStr">
        <is>
          <t>YES</t>
        </is>
      </c>
      <c r="M179" s="4" t="inlineStr">
        <is>
          <t>HIGH</t>
        </is>
      </c>
      <c r="N179" s="4" t="inlineStr">
        <is>
          <t>READY</t>
        </is>
      </c>
      <c r="O179" s="5" t="inlineStr"/>
      <c r="P179" s="5" t="inlineStr"/>
      <c r="Q179" s="5" t="inlineStr"/>
      <c r="R179" s="5" t="inlineStr"/>
    </row>
    <row r="180" ht="20" customHeight="1">
      <c r="A180" s="2" t="inlineStr">
        <is>
          <t>ST179</t>
        </is>
      </c>
      <c r="B180" s="3" t="inlineStr">
        <is>
          <t>BIT Mesra Cutoff Explorer: Branch-Wise Closing Ranks and Admission Guide</t>
        </is>
      </c>
      <c r="C180" s="2" t="inlineStr">
        <is>
          <t>JEE</t>
        </is>
      </c>
      <c r="D180" s="3" t="inlineStr">
        <is>
          <t>College Prediction</t>
        </is>
      </c>
      <c r="E180" s="2" t="inlineStr">
        <is>
          <t>Guide</t>
        </is>
      </c>
      <c r="F180" s="2" t="inlineStr">
        <is>
          <t>Reference</t>
        </is>
      </c>
      <c r="G180" s="3" t="inlineStr">
        <is>
          <t>bit mesra cutoff jee main</t>
        </is>
      </c>
      <c r="H180" s="3" t="inlineStr">
        <is>
          <t>bit mesra cse closing rank, bit mesra josaa cutoff</t>
        </is>
      </c>
      <c r="I180" s="3" t="inlineStr">
        <is>
          <t>JEE Cutoff Explorer</t>
        </is>
      </c>
      <c r="J180" s="3" t="inlineStr">
        <is>
          <t>/jee/cutoff</t>
        </is>
      </c>
      <c r="K180" s="3" t="inlineStr">
        <is>
          <t>Examine closing ranks, quota distributions, category cutoffs, and recent admission trends for BIT Mesra through JoSAA and CSAB.</t>
        </is>
      </c>
      <c r="L180" s="2" t="inlineStr">
        <is>
          <t>YES</t>
        </is>
      </c>
      <c r="M180" s="2" t="inlineStr">
        <is>
          <t>MEDIUM</t>
        </is>
      </c>
      <c r="N180" s="2" t="inlineStr">
        <is>
          <t>READY</t>
        </is>
      </c>
      <c r="O180" s="3" t="inlineStr"/>
      <c r="P180" s="3" t="inlineStr"/>
      <c r="Q180" s="3" t="inlineStr"/>
      <c r="R180" s="3" t="inlineStr"/>
    </row>
    <row r="181" ht="20" customHeight="1">
      <c r="A181" s="4" t="inlineStr">
        <is>
          <t>ST180</t>
        </is>
      </c>
      <c r="B181" s="5" t="inlineStr">
        <is>
          <t>PEC Chandigarh Cutoff Explorer: Branch-Wise Closing Ranks and Admission Guide</t>
        </is>
      </c>
      <c r="C181" s="4" t="inlineStr">
        <is>
          <t>JEE</t>
        </is>
      </c>
      <c r="D181" s="5" t="inlineStr">
        <is>
          <t>College Prediction</t>
        </is>
      </c>
      <c r="E181" s="4" t="inlineStr">
        <is>
          <t>Guide</t>
        </is>
      </c>
      <c r="F181" s="4" t="inlineStr">
        <is>
          <t>Reference</t>
        </is>
      </c>
      <c r="G181" s="5" t="inlineStr">
        <is>
          <t>pec chandigarh cutoff ranks</t>
        </is>
      </c>
      <c r="H181" s="5" t="inlineStr">
        <is>
          <t>pec chandigarh cse cutoff, pec closing rank</t>
        </is>
      </c>
      <c r="I181" s="5" t="inlineStr">
        <is>
          <t>JEE Cutoff Explorer</t>
        </is>
      </c>
      <c r="J181" s="5" t="inlineStr">
        <is>
          <t>/jee/cutoff</t>
        </is>
      </c>
      <c r="K181" s="5" t="inlineStr">
        <is>
          <t>Examine closing ranks, quota distributions, category cutoffs, and recent admission trends for PEC Chandigarh through JoSAA and CSAB.</t>
        </is>
      </c>
      <c r="L181" s="4" t="inlineStr">
        <is>
          <t>YES</t>
        </is>
      </c>
      <c r="M181" s="4" t="inlineStr">
        <is>
          <t>MEDIUM</t>
        </is>
      </c>
      <c r="N181" s="4" t="inlineStr">
        <is>
          <t>READY</t>
        </is>
      </c>
      <c r="O181" s="5" t="inlineStr"/>
      <c r="P181" s="5" t="inlineStr"/>
      <c r="Q181" s="5" t="inlineStr"/>
      <c r="R181" s="5" t="inlineStr"/>
    </row>
    <row r="182" ht="20" customHeight="1">
      <c r="A182" s="2" t="inlineStr">
        <is>
          <t>ST181</t>
        </is>
      </c>
      <c r="B182" s="3" t="inlineStr">
        <is>
          <t>How to Build a 30-Day Revision Plan Using an Exam Countdown Timer</t>
        </is>
      </c>
      <c r="C182" s="2" t="inlineStr">
        <is>
          <t>JEE</t>
        </is>
      </c>
      <c r="D182" s="3" t="inlineStr">
        <is>
          <t>Exam Planning</t>
        </is>
      </c>
      <c r="E182" s="2" t="inlineStr">
        <is>
          <t>Planning Guide</t>
        </is>
      </c>
      <c r="F182" s="2" t="inlineStr">
        <is>
          <t>Planning</t>
        </is>
      </c>
      <c r="G182" s="3" t="inlineStr">
        <is>
          <t>30 day revision plan for jee main</t>
        </is>
      </c>
      <c r="H182" s="3" t="inlineStr">
        <is>
          <t>jee main countdown revision, last month strategy jee, daily study schedule jee 30 days</t>
        </is>
      </c>
      <c r="I182" s="3" t="inlineStr">
        <is>
          <t>JEE Exam Countdown</t>
        </is>
      </c>
      <c r="J182" s="3" t="inlineStr">
        <is>
          <t>/jee/countdown</t>
        </is>
      </c>
      <c r="K182" s="3" t="inlineStr">
        <is>
          <t>Structure a daily revision schedule dividing available hours across high-yield formulas, PYQs, mock tests, and error logs as exam day approaches.</t>
        </is>
      </c>
      <c r="L182" s="2" t="inlineStr">
        <is>
          <t>YES</t>
        </is>
      </c>
      <c r="M182" s="2" t="inlineStr">
        <is>
          <t>HIGH</t>
        </is>
      </c>
      <c r="N182" s="2" t="inlineStr">
        <is>
          <t>READY</t>
        </is>
      </c>
      <c r="O182" s="3" t="inlineStr"/>
      <c r="P182" s="3" t="inlineStr"/>
      <c r="Q182" s="3" t="inlineStr"/>
      <c r="R182" s="3" t="inlineStr"/>
    </row>
    <row r="183" ht="20" customHeight="1">
      <c r="A183" s="4" t="inlineStr">
        <is>
          <t>ST182</t>
        </is>
      </c>
      <c r="B183" s="5" t="inlineStr">
        <is>
          <t>How Many Days Left for JEE Main Session 1? Realistic Milestone Planning</t>
        </is>
      </c>
      <c r="C183" s="4" t="inlineStr">
        <is>
          <t>JEE</t>
        </is>
      </c>
      <c r="D183" s="5" t="inlineStr">
        <is>
          <t>Exam Planning</t>
        </is>
      </c>
      <c r="E183" s="4" t="inlineStr">
        <is>
          <t>Planning Guide</t>
        </is>
      </c>
      <c r="F183" s="4" t="inlineStr">
        <is>
          <t>Planning</t>
        </is>
      </c>
      <c r="G183" s="5" t="inlineStr">
        <is>
          <t>days left for jee main session 1</t>
        </is>
      </c>
      <c r="H183" s="5" t="inlineStr">
        <is>
          <t>jee main exam date countdown, countdown to session 1 jee, milestone planning jee</t>
        </is>
      </c>
      <c r="I183" s="5" t="inlineStr">
        <is>
          <t>JEE Exam Countdown</t>
        </is>
      </c>
      <c r="J183" s="5" t="inlineStr">
        <is>
          <t>/jee/countdown</t>
        </is>
      </c>
      <c r="K183" s="5" t="inlineStr">
        <is>
          <t>Guide students through backward planning from exam day: allocating time blocks for syllabus completion, mock marathons, and final review.</t>
        </is>
      </c>
      <c r="L183" s="4" t="inlineStr">
        <is>
          <t>SEASONAL</t>
        </is>
      </c>
      <c r="M183" s="4" t="inlineStr">
        <is>
          <t>HIGH</t>
        </is>
      </c>
      <c r="N183" s="4" t="inlineStr">
        <is>
          <t>READY</t>
        </is>
      </c>
      <c r="O183" s="5" t="inlineStr"/>
      <c r="P183" s="5" t="inlineStr"/>
      <c r="Q183" s="5" t="inlineStr"/>
      <c r="R183" s="5" t="inlineStr"/>
    </row>
    <row r="184" ht="20" customHeight="1">
      <c r="A184" s="2" t="inlineStr">
        <is>
          <t>ST183</t>
        </is>
      </c>
      <c r="B184" s="3" t="inlineStr">
        <is>
          <t>How to Manage Stress and Burnout as the Exam Countdown Nears Zero</t>
        </is>
      </c>
      <c r="C184" s="2" t="inlineStr">
        <is>
          <t>JEE</t>
        </is>
      </c>
      <c r="D184" s="3" t="inlineStr">
        <is>
          <t>Exam Planning</t>
        </is>
      </c>
      <c r="E184" s="2" t="inlineStr">
        <is>
          <t>Guide</t>
        </is>
      </c>
      <c r="F184" s="2" t="inlineStr">
        <is>
          <t>Informational</t>
        </is>
      </c>
      <c r="G184" s="3" t="inlineStr">
        <is>
          <t>exam stress management jee main</t>
        </is>
      </c>
      <c r="H184" s="3" t="inlineStr">
        <is>
          <t>handling panic before jee, exam day anxiety engineering, mental preparation jee</t>
        </is>
      </c>
      <c r="I184" s="3" t="inlineStr">
        <is>
          <t>JEE Exam Countdown</t>
        </is>
      </c>
      <c r="J184" s="3" t="inlineStr">
        <is>
          <t>/jee/countdown</t>
        </is>
      </c>
      <c r="K184" s="3" t="inlineStr">
        <is>
          <t>Evidence-based strategies for sleep hygiene, managing exam week anxiety, pacing mock tests, and maintaining emotional stamina.</t>
        </is>
      </c>
      <c r="L184" s="2" t="inlineStr">
        <is>
          <t>YES</t>
        </is>
      </c>
      <c r="M184" s="2" t="inlineStr">
        <is>
          <t>MEDIUM</t>
        </is>
      </c>
      <c r="N184" s="2" t="inlineStr">
        <is>
          <t>READY</t>
        </is>
      </c>
      <c r="O184" s="3" t="inlineStr"/>
      <c r="P184" s="3" t="inlineStr"/>
      <c r="Q184" s="3" t="inlineStr"/>
      <c r="R184" s="3" t="inlineStr"/>
    </row>
    <row r="185" ht="20" customHeight="1">
      <c r="A185" s="4" t="inlineStr">
        <is>
          <t>ST184</t>
        </is>
      </c>
      <c r="B185" s="5" t="inlineStr">
        <is>
          <t>The Last 7 Days Before JEE Main: What to Study and What to Avoid</t>
        </is>
      </c>
      <c r="C185" s="4" t="inlineStr">
        <is>
          <t>JEE</t>
        </is>
      </c>
      <c r="D185" s="5" t="inlineStr">
        <is>
          <t>Exam Planning</t>
        </is>
      </c>
      <c r="E185" s="4" t="inlineStr">
        <is>
          <t>Guide</t>
        </is>
      </c>
      <c r="F185" s="4" t="inlineStr">
        <is>
          <t>Planning</t>
        </is>
      </c>
      <c r="G185" s="5" t="inlineStr">
        <is>
          <t>last week preparation for jee main</t>
        </is>
      </c>
      <c r="H185" s="5" t="inlineStr">
        <is>
          <t>what to do 7 days before jee, last minute revision jee, avoiding burnout before exam</t>
        </is>
      </c>
      <c r="I185" s="5" t="inlineStr">
        <is>
          <t>JEE Exam Countdown</t>
        </is>
      </c>
      <c r="J185" s="5" t="inlineStr">
        <is>
          <t>/jee/countdown</t>
        </is>
      </c>
      <c r="K185" s="5" t="inlineStr">
        <is>
          <t>Specific recommendations for the final week: stopping new concepts, reviewing formula sheets, practicing exam-slot mock tests, and circadian rhythm tuning.</t>
        </is>
      </c>
      <c r="L185" s="4" t="inlineStr">
        <is>
          <t>YES</t>
        </is>
      </c>
      <c r="M185" s="4" t="inlineStr">
        <is>
          <t>HIGH</t>
        </is>
      </c>
      <c r="N185" s="4" t="inlineStr">
        <is>
          <t>READY</t>
        </is>
      </c>
      <c r="O185" s="5" t="inlineStr"/>
      <c r="P185" s="5" t="inlineStr"/>
      <c r="Q185" s="5" t="inlineStr"/>
      <c r="R185" s="5" t="inlineStr"/>
    </row>
    <row r="186" ht="20" customHeight="1">
      <c r="A186" s="2" t="inlineStr">
        <is>
          <t>ST185</t>
        </is>
      </c>
      <c r="B186" s="3" t="inlineStr">
        <is>
          <t>How to Adjust Your Sleep Cycle for JEE Main Morning Shift (9 AM - 12 PM)</t>
        </is>
      </c>
      <c r="C186" s="2" t="inlineStr">
        <is>
          <t>JEE</t>
        </is>
      </c>
      <c r="D186" s="3" t="inlineStr">
        <is>
          <t>Exam Planning</t>
        </is>
      </c>
      <c r="E186" s="2" t="inlineStr">
        <is>
          <t>Guide</t>
        </is>
      </c>
      <c r="F186" s="2" t="inlineStr">
        <is>
          <t>How-To</t>
        </is>
      </c>
      <c r="G186" s="3" t="inlineStr">
        <is>
          <t>how to adjust sleep cycle for jee main morning shift</t>
        </is>
      </c>
      <c r="H186" s="3" t="inlineStr">
        <is>
          <t>circadian rhythm exam prep, waking up early for jee, morning shift mental alertness</t>
        </is>
      </c>
      <c r="I186" s="3" t="inlineStr">
        <is>
          <t>JEE Exam Countdown</t>
        </is>
      </c>
      <c r="J186" s="3" t="inlineStr">
        <is>
          <t>/jee/countdown</t>
        </is>
      </c>
      <c r="K186" s="3" t="inlineStr">
        <is>
          <t>Explain the neurological impact of circadian rhythm adjustments 2-3 weeks before the exam so peak cognitive alertness coincides with the morning shift.</t>
        </is>
      </c>
      <c r="L186" s="2" t="inlineStr">
        <is>
          <t>YES</t>
        </is>
      </c>
      <c r="M186" s="2" t="inlineStr">
        <is>
          <t>MEDIUM</t>
        </is>
      </c>
      <c r="N186" s="2" t="inlineStr">
        <is>
          <t>READY</t>
        </is>
      </c>
      <c r="O186" s="3" t="inlineStr"/>
      <c r="P186" s="3" t="inlineStr"/>
      <c r="Q186" s="3" t="inlineStr"/>
      <c r="R186" s="3" t="inlineStr"/>
    </row>
    <row r="187" ht="20" customHeight="1">
      <c r="A187" s="4" t="inlineStr">
        <is>
          <t>ST186</t>
        </is>
      </c>
      <c r="B187" s="5" t="inlineStr">
        <is>
          <t>Why Daily Countdown Tracking Boosts Consistency in Competitive Exam Preparation</t>
        </is>
      </c>
      <c r="C187" s="4" t="inlineStr">
        <is>
          <t>JEE</t>
        </is>
      </c>
      <c r="D187" s="5" t="inlineStr">
        <is>
          <t>Exam Planning</t>
        </is>
      </c>
      <c r="E187" s="4" t="inlineStr">
        <is>
          <t>Explanation</t>
        </is>
      </c>
      <c r="F187" s="4" t="inlineStr">
        <is>
          <t>Educational</t>
        </is>
      </c>
      <c r="G187" s="5" t="inlineStr">
        <is>
          <t>benefits of exam countdown tracking</t>
        </is>
      </c>
      <c r="H187" s="5" t="inlineStr">
        <is>
          <t>urgency in exam prep, study momentum countdown timer, tracking days left for competitive exams</t>
        </is>
      </c>
      <c r="I187" s="5" t="inlineStr">
        <is>
          <t>JEE Exam Countdown</t>
        </is>
      </c>
      <c r="J187" s="5" t="inlineStr">
        <is>
          <t>/jee/countdown</t>
        </is>
      </c>
      <c r="K187" s="5" t="inlineStr">
        <is>
          <t>Explore the psychological power of visual countdown timers in breaking procrastination, instilling focused urgency, and measuring daily output.</t>
        </is>
      </c>
      <c r="L187" s="4" t="inlineStr">
        <is>
          <t>YES</t>
        </is>
      </c>
      <c r="M187" s="4" t="inlineStr">
        <is>
          <t>LOW</t>
        </is>
      </c>
      <c r="N187" s="4" t="inlineStr">
        <is>
          <t>READY</t>
        </is>
      </c>
      <c r="O187" s="5" t="inlineStr"/>
      <c r="P187" s="5" t="inlineStr"/>
      <c r="Q187" s="5" t="inlineStr"/>
      <c r="R187" s="5" t="inlineStr"/>
    </row>
    <row r="188" ht="20" customHeight="1">
      <c r="A188" s="2" t="inlineStr">
        <is>
          <t>ST187</t>
        </is>
      </c>
      <c r="B188" s="3" t="inlineStr">
        <is>
          <t>How to Plan Full-Length Mock Tests in the Final 60 Days of JEE Preparation</t>
        </is>
      </c>
      <c r="C188" s="2" t="inlineStr">
        <is>
          <t>JEE</t>
        </is>
      </c>
      <c r="D188" s="3" t="inlineStr">
        <is>
          <t>Exam Planning</t>
        </is>
      </c>
      <c r="E188" s="2" t="inlineStr">
        <is>
          <t>Planning Guide</t>
        </is>
      </c>
      <c r="F188" s="2" t="inlineStr">
        <is>
          <t>Planning</t>
        </is>
      </c>
      <c r="G188" s="3" t="inlineStr">
        <is>
          <t>how many mock tests before jee main</t>
        </is>
      </c>
      <c r="H188" s="3" t="inlineStr">
        <is>
          <t>mock test frequency last 60 days, analyzing full length tests, mock schedule countdown</t>
        </is>
      </c>
      <c r="I188" s="3" t="inlineStr">
        <is>
          <t>JEE Exam Countdown</t>
        </is>
      </c>
      <c r="J188" s="3" t="inlineStr">
        <is>
          <t>/jee/countdown</t>
        </is>
      </c>
      <c r="K188" s="3" t="inlineStr">
        <is>
          <t>Recommended timeline: moving from 1 mock test per week at 60 days down to alternate days at 30 days, leaving the final 5 days for consolidation.</t>
        </is>
      </c>
      <c r="L188" s="2" t="inlineStr">
        <is>
          <t>YES</t>
        </is>
      </c>
      <c r="M188" s="2" t="inlineStr">
        <is>
          <t>HIGH</t>
        </is>
      </c>
      <c r="N188" s="2" t="inlineStr">
        <is>
          <t>READY</t>
        </is>
      </c>
      <c r="O188" s="3" t="inlineStr"/>
      <c r="P188" s="3" t="inlineStr"/>
      <c r="Q188" s="3" t="inlineStr"/>
      <c r="R188" s="3" t="inlineStr"/>
    </row>
    <row r="189" ht="20" customHeight="1">
      <c r="A189" s="4" t="inlineStr">
        <is>
          <t>ST188</t>
        </is>
      </c>
      <c r="B189" s="5" t="inlineStr">
        <is>
          <t>JEE Main Session 1 vs Session 2: How to Rebuild Momentum Between Exam Dates</t>
        </is>
      </c>
      <c r="C189" s="4" t="inlineStr">
        <is>
          <t>JEE</t>
        </is>
      </c>
      <c r="D189" s="5" t="inlineStr">
        <is>
          <t>Exam Planning</t>
        </is>
      </c>
      <c r="E189" s="4" t="inlineStr">
        <is>
          <t>Planning Guide</t>
        </is>
      </c>
      <c r="F189" s="4" t="inlineStr">
        <is>
          <t>Planning</t>
        </is>
      </c>
      <c r="G189" s="5" t="inlineStr">
        <is>
          <t>strategy between jee session 1 and session 2</t>
        </is>
      </c>
      <c r="H189" s="5" t="inlineStr">
        <is>
          <t>improving score in session 2, gap between session 1 and 2, planning for april attempt</t>
        </is>
      </c>
      <c r="I189" s="5" t="inlineStr">
        <is>
          <t>JEE Exam Countdown</t>
        </is>
      </c>
      <c r="J189" s="5" t="inlineStr">
        <is>
          <t>/jee/countdown</t>
        </is>
      </c>
      <c r="K189" s="5" t="inlineStr">
        <is>
          <t>Tactical guide on analyzing Session 1 performance gaps, addressing weak chapters, and planning a 60-day turnaround for Session 2.</t>
        </is>
      </c>
      <c r="L189" s="4" t="inlineStr">
        <is>
          <t>YES</t>
        </is>
      </c>
      <c r="M189" s="4" t="inlineStr">
        <is>
          <t>HIGH</t>
        </is>
      </c>
      <c r="N189" s="4" t="inlineStr">
        <is>
          <t>READY</t>
        </is>
      </c>
      <c r="O189" s="5" t="inlineStr"/>
      <c r="P189" s="5" t="inlineStr"/>
      <c r="Q189" s="5" t="inlineStr"/>
      <c r="R189" s="5" t="inlineStr"/>
    </row>
    <row r="190" ht="20" customHeight="1">
      <c r="A190" s="2" t="inlineStr">
        <is>
          <t>ST189</t>
        </is>
      </c>
      <c r="B190" s="3" t="inlineStr">
        <is>
          <t>Checklist for JEE Main Exam Day: Documents, Dress Code, and Reporting Time</t>
        </is>
      </c>
      <c r="C190" s="2" t="inlineStr">
        <is>
          <t>JEE</t>
        </is>
      </c>
      <c r="D190" s="3" t="inlineStr">
        <is>
          <t>Exam Planning</t>
        </is>
      </c>
      <c r="E190" s="2" t="inlineStr">
        <is>
          <t>Guide</t>
        </is>
      </c>
      <c r="F190" s="2" t="inlineStr">
        <is>
          <t>Reference</t>
        </is>
      </c>
      <c r="G190" s="3" t="inlineStr">
        <is>
          <t>jee main exam day checklist</t>
        </is>
      </c>
      <c r="H190" s="3" t="inlineStr">
        <is>
          <t>nta dress code rules jee, admit card undertaking photo, what to carry to jee exam centre</t>
        </is>
      </c>
      <c r="I190" s="3" t="inlineStr">
        <is>
          <t>JEE Exam Countdown</t>
        </is>
      </c>
      <c r="J190" s="3" t="inlineStr">
        <is>
          <t>/jee/countdown</t>
        </is>
      </c>
      <c r="K190" s="3" t="inlineStr">
        <is>
          <t>Comprehensive practical checklist: printed admit card, valid original photo ID, transparent ballpoint pen, passport photographs, and permissible clothing.</t>
        </is>
      </c>
      <c r="L190" s="2" t="inlineStr">
        <is>
          <t>YES</t>
        </is>
      </c>
      <c r="M190" s="2" t="inlineStr">
        <is>
          <t>HIGH</t>
        </is>
      </c>
      <c r="N190" s="2" t="inlineStr">
        <is>
          <t>READY</t>
        </is>
      </c>
      <c r="O190" s="3" t="inlineStr"/>
      <c r="P190" s="3" t="inlineStr"/>
      <c r="Q190" s="3" t="inlineStr"/>
      <c r="R190" s="3" t="inlineStr"/>
    </row>
    <row r="191" ht="20" customHeight="1">
      <c r="A191" s="4" t="inlineStr">
        <is>
          <t>ST190</t>
        </is>
      </c>
      <c r="B191" s="5" t="inlineStr">
        <is>
          <t>How to Calculate Total Available Study Hours Before Your JEE Exam Date</t>
        </is>
      </c>
      <c r="C191" s="4" t="inlineStr">
        <is>
          <t>JEE</t>
        </is>
      </c>
      <c r="D191" s="5" t="inlineStr">
        <is>
          <t>Exam Planning</t>
        </is>
      </c>
      <c r="E191" s="4" t="inlineStr">
        <is>
          <t>How-To</t>
        </is>
      </c>
      <c r="F191" s="4" t="inlineStr">
        <is>
          <t>How-To</t>
        </is>
      </c>
      <c r="G191" s="5" t="inlineStr">
        <is>
          <t>how to calculate study hours before jee</t>
        </is>
      </c>
      <c r="H191" s="5" t="inlineStr">
        <is>
          <t>time budgeting for jee, remaining hours calculator exam, daily study planner</t>
        </is>
      </c>
      <c r="I191" s="5" t="inlineStr">
        <is>
          <t>JEE Exam Countdown</t>
        </is>
      </c>
      <c r="J191" s="5" t="inlineStr">
        <is>
          <t>/jee/countdown</t>
        </is>
      </c>
      <c r="K191" s="5" t="inlineStr">
        <is>
          <t>Provide a calculation framework deducting school/board exams, coaching, sleep, and rest to find net productive study hours remaining.</t>
        </is>
      </c>
      <c r="L191" s="4" t="inlineStr">
        <is>
          <t>YES</t>
        </is>
      </c>
      <c r="M191" s="4" t="inlineStr">
        <is>
          <t>HIGH</t>
        </is>
      </c>
      <c r="N191" s="4" t="inlineStr">
        <is>
          <t>READY</t>
        </is>
      </c>
      <c r="O191" s="5" t="inlineStr"/>
      <c r="P191" s="5" t="inlineStr"/>
      <c r="Q191" s="5" t="inlineStr"/>
      <c r="R191" s="5" t="inlineStr"/>
    </row>
    <row r="192" ht="20" customHeight="1">
      <c r="A192" s="2" t="inlineStr">
        <is>
          <t>ST191</t>
        </is>
      </c>
      <c r="B192" s="3" t="inlineStr">
        <is>
          <t>Balancing Class 12 Board Exams with JEE Main Countdown: The Dual-Prep Strategy</t>
        </is>
      </c>
      <c r="C192" s="2" t="inlineStr">
        <is>
          <t>JEE</t>
        </is>
      </c>
      <c r="D192" s="3" t="inlineStr">
        <is>
          <t>Exam Planning</t>
        </is>
      </c>
      <c r="E192" s="2" t="inlineStr">
        <is>
          <t>Planning Guide</t>
        </is>
      </c>
      <c r="F192" s="2" t="inlineStr">
        <is>
          <t>Planning</t>
        </is>
      </c>
      <c r="G192" s="3" t="inlineStr">
        <is>
          <t>balancing 12th boards and jee main</t>
        </is>
      </c>
      <c r="H192" s="3" t="inlineStr">
        <is>
          <t>cbse board exam vs jee preparation, managing boards and competitive exams, study timetable boards jee</t>
        </is>
      </c>
      <c r="I192" s="3" t="inlineStr">
        <is>
          <t>JEE Exam Countdown</t>
        </is>
      </c>
      <c r="J192" s="3" t="inlineStr">
        <is>
          <t>/jee/countdown</t>
        </is>
      </c>
      <c r="K192" s="3" t="inlineStr">
        <is>
          <t>Framework for synchronizing NCERT syllabus revision for board subjective questions while simultaneously solving multiple-choice JEE problems.</t>
        </is>
      </c>
      <c r="L192" s="2" t="inlineStr">
        <is>
          <t>YES</t>
        </is>
      </c>
      <c r="M192" s="2" t="inlineStr">
        <is>
          <t>HIGH</t>
        </is>
      </c>
      <c r="N192" s="2" t="inlineStr">
        <is>
          <t>READY</t>
        </is>
      </c>
      <c r="O192" s="3" t="inlineStr"/>
      <c r="P192" s="3" t="inlineStr"/>
      <c r="Q192" s="3" t="inlineStr"/>
      <c r="R192" s="3" t="inlineStr"/>
    </row>
    <row r="193" ht="20" customHeight="1">
      <c r="A193" s="4" t="inlineStr">
        <is>
          <t>ST192</t>
        </is>
      </c>
      <c r="B193" s="5" t="inlineStr">
        <is>
          <t>How to Structure a 90-Day Comprehensive Syllabus Crash Plan for JEE Main</t>
        </is>
      </c>
      <c r="C193" s="4" t="inlineStr">
        <is>
          <t>JEE</t>
        </is>
      </c>
      <c r="D193" s="5" t="inlineStr">
        <is>
          <t>Exam Planning</t>
        </is>
      </c>
      <c r="E193" s="4" t="inlineStr">
        <is>
          <t>Planning Guide</t>
        </is>
      </c>
      <c r="F193" s="4" t="inlineStr">
        <is>
          <t>Planning</t>
        </is>
      </c>
      <c r="G193" s="5" t="inlineStr">
        <is>
          <t>90 day study plan for jee main</t>
        </is>
      </c>
      <c r="H193" s="5" t="inlineStr">
        <is>
          <t>3 month jee main strategy, complete syllabus in 90 days, crash study routine</t>
        </is>
      </c>
      <c r="I193" s="5" t="inlineStr">
        <is>
          <t>JEE Exam Countdown</t>
        </is>
      </c>
      <c r="J193" s="5" t="inlineStr">
        <is>
          <t>/jee/countdown</t>
        </is>
      </c>
      <c r="K193" s="5" t="inlineStr">
        <is>
          <t>Weekly syllabus milestone breakdown distributing 90 chapters across Physics, Chemistry, and Mathematics over a 12-week block.</t>
        </is>
      </c>
      <c r="L193" s="4" t="inlineStr">
        <is>
          <t>YES</t>
        </is>
      </c>
      <c r="M193" s="4" t="inlineStr">
        <is>
          <t>HIGH</t>
        </is>
      </c>
      <c r="N193" s="4" t="inlineStr">
        <is>
          <t>READY</t>
        </is>
      </c>
      <c r="O193" s="5" t="inlineStr"/>
      <c r="P193" s="5" t="inlineStr"/>
      <c r="Q193" s="5" t="inlineStr"/>
      <c r="R193" s="5" t="inlineStr"/>
    </row>
    <row r="194" ht="20" customHeight="1">
      <c r="A194" s="2" t="inlineStr">
        <is>
          <t>ST193</t>
        </is>
      </c>
      <c r="B194" s="3" t="inlineStr">
        <is>
          <t>15-Day Formula Revision Roadmap for Physics and Physical Chemistry</t>
        </is>
      </c>
      <c r="C194" s="2" t="inlineStr">
        <is>
          <t>JEE</t>
        </is>
      </c>
      <c r="D194" s="3" t="inlineStr">
        <is>
          <t>Exam Planning</t>
        </is>
      </c>
      <c r="E194" s="2" t="inlineStr">
        <is>
          <t>Guide</t>
        </is>
      </c>
      <c r="F194" s="2" t="inlineStr">
        <is>
          <t>Planning</t>
        </is>
      </c>
      <c r="G194" s="3" t="inlineStr">
        <is>
          <t>15 day formula revision jee</t>
        </is>
      </c>
      <c r="H194" s="3" t="inlineStr">
        <is>
          <t>physics formula revision jee, chemistry formula sheet prep, quick revision before exam</t>
        </is>
      </c>
      <c r="I194" s="3" t="inlineStr">
        <is>
          <t>JEE Exam Countdown</t>
        </is>
      </c>
      <c r="J194" s="3" t="inlineStr">
        <is>
          <t>/jee/countdown</t>
        </is>
      </c>
      <c r="K194" s="3" t="inlineStr">
        <is>
          <t>Actionable day-by-day formula consolidation guide targeting mechanics, electrodynamics, thermodynamics, and physical chemistry calculations.</t>
        </is>
      </c>
      <c r="L194" s="2" t="inlineStr">
        <is>
          <t>YES</t>
        </is>
      </c>
      <c r="M194" s="2" t="inlineStr">
        <is>
          <t>HIGH</t>
        </is>
      </c>
      <c r="N194" s="2" t="inlineStr">
        <is>
          <t>READY</t>
        </is>
      </c>
      <c r="O194" s="3" t="inlineStr"/>
      <c r="P194" s="3" t="inlineStr"/>
      <c r="Q194" s="3" t="inlineStr"/>
      <c r="R194" s="3" t="inlineStr"/>
    </row>
    <row r="195" ht="20" customHeight="1">
      <c r="A195" s="4" t="inlineStr">
        <is>
          <t>ST194</t>
        </is>
      </c>
      <c r="B195" s="5" t="inlineStr">
        <is>
          <t>How to Simulate Real Exam Conditions During Mock Tests at Home</t>
        </is>
      </c>
      <c r="C195" s="4" t="inlineStr">
        <is>
          <t>JEE</t>
        </is>
      </c>
      <c r="D195" s="5" t="inlineStr">
        <is>
          <t>Exam Planning</t>
        </is>
      </c>
      <c r="E195" s="4" t="inlineStr">
        <is>
          <t>How-To</t>
        </is>
      </c>
      <c r="F195" s="4" t="inlineStr">
        <is>
          <t>How-To</t>
        </is>
      </c>
      <c r="G195" s="5" t="inlineStr">
        <is>
          <t>how to simulate jee exam at home</t>
        </is>
      </c>
      <c r="H195" s="5" t="inlineStr">
        <is>
          <t>mock test environment setup, no phone mock test rule, exact shift timing mock test</t>
        </is>
      </c>
      <c r="I195" s="5" t="inlineStr">
        <is>
          <t>JEE Exam Countdown</t>
        </is>
      </c>
      <c r="J195" s="5" t="inlineStr">
        <is>
          <t>/jee/countdown</t>
        </is>
      </c>
      <c r="K195" s="5" t="inlineStr">
        <is>
          <t>Guide to setting up an exam desk, strictly adhering to 9 AM - 12 PM or 3 PM - 6 PM slots, avoiding breaks, and using paper rough sheets.</t>
        </is>
      </c>
      <c r="L195" s="4" t="inlineStr">
        <is>
          <t>YES</t>
        </is>
      </c>
      <c r="M195" s="4" t="inlineStr">
        <is>
          <t>MEDIUM</t>
        </is>
      </c>
      <c r="N195" s="4" t="inlineStr">
        <is>
          <t>READY</t>
        </is>
      </c>
      <c r="O195" s="5" t="inlineStr"/>
      <c r="P195" s="5" t="inlineStr"/>
      <c r="Q195" s="5" t="inlineStr"/>
      <c r="R195" s="5" t="inlineStr"/>
    </row>
    <row r="196" ht="20" customHeight="1">
      <c r="A196" s="2" t="inlineStr">
        <is>
          <t>ST195</t>
        </is>
      </c>
      <c r="B196" s="3" t="inlineStr">
        <is>
          <t>Handling Center Relocation and Travel Planning for Outstation JEE Candidates</t>
        </is>
      </c>
      <c r="C196" s="2" t="inlineStr">
        <is>
          <t>JEE</t>
        </is>
      </c>
      <c r="D196" s="3" t="inlineStr">
        <is>
          <t>Exam Planning</t>
        </is>
      </c>
      <c r="E196" s="2" t="inlineStr">
        <is>
          <t>Guide</t>
        </is>
      </c>
      <c r="F196" s="2" t="inlineStr">
        <is>
          <t>Planning</t>
        </is>
      </c>
      <c r="G196" s="3" t="inlineStr">
        <is>
          <t>travel planning for jee main exam centre</t>
        </is>
      </c>
      <c r="H196" s="3" t="inlineStr">
        <is>
          <t>exam centre reporting guidelines, outstation exam travel checklist, avoiding exam day rush</t>
        </is>
      </c>
      <c r="I196" s="3" t="inlineStr">
        <is>
          <t>JEE Exam Countdown</t>
        </is>
      </c>
      <c r="J196" s="3" t="inlineStr">
        <is>
          <t>/jee/countdown</t>
        </is>
      </c>
      <c r="K196" s="3" t="inlineStr">
        <is>
          <t>Practical logistics advice: visiting the exam center a day in advance, traffic allowance, and morning commute buffers.</t>
        </is>
      </c>
      <c r="L196" s="2" t="inlineStr">
        <is>
          <t>YES</t>
        </is>
      </c>
      <c r="M196" s="2" t="inlineStr">
        <is>
          <t>LOW</t>
        </is>
      </c>
      <c r="N196" s="2" t="inlineStr">
        <is>
          <t>READY</t>
        </is>
      </c>
      <c r="O196" s="3" t="inlineStr"/>
      <c r="P196" s="3" t="inlineStr"/>
      <c r="Q196" s="3" t="inlineStr"/>
      <c r="R196" s="3" t="inlineStr"/>
    </row>
    <row r="197" ht="20" customHeight="1">
      <c r="A197" s="4" t="inlineStr">
        <is>
          <t>ST196</t>
        </is>
      </c>
      <c r="B197" s="5" t="inlineStr">
        <is>
          <t>How to Overcome the Mid-Preparation Slump 45 Days Before JEE Main</t>
        </is>
      </c>
      <c r="C197" s="4" t="inlineStr">
        <is>
          <t>JEE</t>
        </is>
      </c>
      <c r="D197" s="5" t="inlineStr">
        <is>
          <t>Exam Planning</t>
        </is>
      </c>
      <c r="E197" s="4" t="inlineStr">
        <is>
          <t>Guide</t>
        </is>
      </c>
      <c r="F197" s="4" t="inlineStr">
        <is>
          <t>Informational</t>
        </is>
      </c>
      <c r="G197" s="5" t="inlineStr">
        <is>
          <t>mid preparation slump jee</t>
        </is>
      </c>
      <c r="H197" s="5" t="inlineStr">
        <is>
          <t>losing motivation during jee prep, how to stay focused before exam, rebuilding study stamina</t>
        </is>
      </c>
      <c r="I197" s="5" t="inlineStr">
        <is>
          <t>JEE Exam Countdown</t>
        </is>
      </c>
      <c r="J197" s="5" t="inlineStr">
        <is>
          <t>/jee/countdown</t>
        </is>
      </c>
      <c r="K197" s="5" t="inlineStr">
        <is>
          <t>Psychological strategies to navigate the common dip in motivation 6 weeks prior to the exam when syllabus fatigue peaks.</t>
        </is>
      </c>
      <c r="L197" s="4" t="inlineStr">
        <is>
          <t>YES</t>
        </is>
      </c>
      <c r="M197" s="4" t="inlineStr">
        <is>
          <t>MEDIUM</t>
        </is>
      </c>
      <c r="N197" s="4" t="inlineStr">
        <is>
          <t>READY</t>
        </is>
      </c>
      <c r="O197" s="5" t="inlineStr"/>
      <c r="P197" s="5" t="inlineStr"/>
      <c r="Q197" s="5" t="inlineStr"/>
      <c r="R197" s="5" t="inlineStr"/>
    </row>
    <row r="198" ht="20" customHeight="1">
      <c r="A198" s="2" t="inlineStr">
        <is>
          <t>ST197</t>
        </is>
      </c>
      <c r="B198" s="3" t="inlineStr">
        <is>
          <t>Designing an Error Notebook: How to Track and Eliminate Recurring Mistakes</t>
        </is>
      </c>
      <c r="C198" s="2" t="inlineStr">
        <is>
          <t>JEE</t>
        </is>
      </c>
      <c r="D198" s="3" t="inlineStr">
        <is>
          <t>Exam Planning</t>
        </is>
      </c>
      <c r="E198" s="2" t="inlineStr">
        <is>
          <t>How-To</t>
        </is>
      </c>
      <c r="F198" s="2" t="inlineStr">
        <is>
          <t>How-To</t>
        </is>
      </c>
      <c r="G198" s="3" t="inlineStr">
        <is>
          <t>how to make error notebook for jee</t>
        </is>
      </c>
      <c r="H198" s="3" t="inlineStr">
        <is>
          <t>error analysis diary jee, eliminating silly mistakes, revision from mistake book</t>
        </is>
      </c>
      <c r="I198" s="3" t="inlineStr">
        <is>
          <t>JEE Exam Countdown</t>
        </is>
      </c>
      <c r="J198" s="3" t="inlineStr">
        <is>
          <t>/jee/countdown</t>
        </is>
      </c>
      <c r="K198" s="3" t="inlineStr">
        <is>
          <t>Step-by-step method to record silly mistakes, conceptual oversights, and forgotten formulas to review in the final 48 hours before the exam.</t>
        </is>
      </c>
      <c r="L198" s="2" t="inlineStr">
        <is>
          <t>YES</t>
        </is>
      </c>
      <c r="M198" s="2" t="inlineStr">
        <is>
          <t>HIGH</t>
        </is>
      </c>
      <c r="N198" s="2" t="inlineStr">
        <is>
          <t>READY</t>
        </is>
      </c>
      <c r="O198" s="3" t="inlineStr"/>
      <c r="P198" s="3" t="inlineStr"/>
      <c r="Q198" s="3" t="inlineStr"/>
      <c r="R198" s="3" t="inlineStr"/>
    </row>
    <row r="199" ht="20" customHeight="1">
      <c r="A199" s="4" t="inlineStr">
        <is>
          <t>ST198</t>
        </is>
      </c>
      <c r="B199" s="5" t="inlineStr">
        <is>
          <t>How Many Hours Should You Sleep During the Final Month of JEE Preparation?</t>
        </is>
      </c>
      <c r="C199" s="4" t="inlineStr">
        <is>
          <t>JEE</t>
        </is>
      </c>
      <c r="D199" s="5" t="inlineStr">
        <is>
          <t>Exam Planning</t>
        </is>
      </c>
      <c r="E199" s="4" t="inlineStr">
        <is>
          <t>Guide</t>
        </is>
      </c>
      <c r="F199" s="4" t="inlineStr">
        <is>
          <t>Informational</t>
        </is>
      </c>
      <c r="G199" s="5" t="inlineStr">
        <is>
          <t>how many hours of sleep for jee student</t>
        </is>
      </c>
      <c r="H199" s="5" t="inlineStr">
        <is>
          <t>sleep hygiene exam prep, all nighters before jee, cognitive performance and sleep</t>
        </is>
      </c>
      <c r="I199" s="5" t="inlineStr">
        <is>
          <t>JEE Exam Countdown</t>
        </is>
      </c>
      <c r="J199" s="5" t="inlineStr">
        <is>
          <t>/jee/countdown</t>
        </is>
      </c>
      <c r="K199" s="5" t="inlineStr">
        <is>
          <t>Scientific explanation of why 7 hours of uninterrupted sleep enhances memory consolidation and prevents disastrous calculation fog on exam day.</t>
        </is>
      </c>
      <c r="L199" s="4" t="inlineStr">
        <is>
          <t>YES</t>
        </is>
      </c>
      <c r="M199" s="4" t="inlineStr">
        <is>
          <t>MEDIUM</t>
        </is>
      </c>
      <c r="N199" s="4" t="inlineStr">
        <is>
          <t>READY</t>
        </is>
      </c>
      <c r="O199" s="5" t="inlineStr"/>
      <c r="P199" s="5" t="inlineStr"/>
      <c r="Q199" s="5" t="inlineStr"/>
      <c r="R199" s="5" t="inlineStr"/>
    </row>
    <row r="200" ht="20" customHeight="1">
      <c r="A200" s="2" t="inlineStr">
        <is>
          <t>ST199</t>
        </is>
      </c>
      <c r="B200" s="3" t="inlineStr">
        <is>
          <t>Revision Prioritization: Weightage-Based Chapter Ranking for Last-Minute Prep</t>
        </is>
      </c>
      <c r="C200" s="2" t="inlineStr">
        <is>
          <t>JEE</t>
        </is>
      </c>
      <c r="D200" s="3" t="inlineStr">
        <is>
          <t>Exam Planning</t>
        </is>
      </c>
      <c r="E200" s="2" t="inlineStr">
        <is>
          <t>Guide</t>
        </is>
      </c>
      <c r="F200" s="2" t="inlineStr">
        <is>
          <t>Reference</t>
        </is>
      </c>
      <c r="G200" s="3" t="inlineStr">
        <is>
          <t>high weightage chapters for jee main</t>
        </is>
      </c>
      <c r="H200" s="3" t="inlineStr">
        <is>
          <t>most important chapters jee physics chemistry maths, scoring topics jee main, weightage ranking</t>
        </is>
      </c>
      <c r="I200" s="3" t="inlineStr">
        <is>
          <t>JEE Exam Countdown</t>
        </is>
      </c>
      <c r="J200" s="3" t="inlineStr">
        <is>
          <t>/jee/countdown</t>
        </is>
      </c>
      <c r="K200" s="3" t="inlineStr">
        <is>
          <t>Comprehensive chart of historically high-yield chapters (Modern Physics, Current Electricity, Coordination Compounds, Matrices, Vectors).</t>
        </is>
      </c>
      <c r="L200" s="2" t="inlineStr">
        <is>
          <t>YES</t>
        </is>
      </c>
      <c r="M200" s="2" t="inlineStr">
        <is>
          <t>HIGH</t>
        </is>
      </c>
      <c r="N200" s="2" t="inlineStr">
        <is>
          <t>READY</t>
        </is>
      </c>
      <c r="O200" s="3" t="inlineStr"/>
      <c r="P200" s="3" t="inlineStr"/>
      <c r="Q200" s="3" t="inlineStr"/>
      <c r="R200" s="3" t="inlineStr"/>
    </row>
    <row r="201" ht="20" customHeight="1">
      <c r="A201" s="4" t="inlineStr">
        <is>
          <t>ST200</t>
        </is>
      </c>
      <c r="B201" s="5" t="inlineStr">
        <is>
          <t>What to Eat on Exam Day: Nutrition and Hydration Tips for Peak Mental Focus</t>
        </is>
      </c>
      <c r="C201" s="4" t="inlineStr">
        <is>
          <t>JEE</t>
        </is>
      </c>
      <c r="D201" s="5" t="inlineStr">
        <is>
          <t>Exam Planning</t>
        </is>
      </c>
      <c r="E201" s="4" t="inlineStr">
        <is>
          <t>Guide</t>
        </is>
      </c>
      <c r="F201" s="4" t="inlineStr">
        <is>
          <t>Informational</t>
        </is>
      </c>
      <c r="G201" s="5" t="inlineStr">
        <is>
          <t>what to eat before jee exam</t>
        </is>
      </c>
      <c r="H201" s="5" t="inlineStr">
        <is>
          <t>exam day breakfast tips, staying hydrated during exam, avoiding food coma morning shift</t>
        </is>
      </c>
      <c r="I201" s="5" t="inlineStr">
        <is>
          <t>JEE Exam Countdown</t>
        </is>
      </c>
      <c r="J201" s="5" t="inlineStr">
        <is>
          <t>/jee/countdown</t>
        </is>
      </c>
      <c r="K201" s="5" t="inlineStr">
        <is>
          <t>Nutritional advice for steady blood glucose release, avoiding sugar crashes, and optimal hydration during a 3-hour high-intensity exam.</t>
        </is>
      </c>
      <c r="L201" s="4" t="inlineStr">
        <is>
          <t>YES</t>
        </is>
      </c>
      <c r="M201" s="4" t="inlineStr">
        <is>
          <t>LOW</t>
        </is>
      </c>
      <c r="N201" s="4" t="inlineStr">
        <is>
          <t>READY</t>
        </is>
      </c>
      <c r="O201" s="5" t="inlineStr"/>
      <c r="P201" s="5" t="inlineStr"/>
      <c r="Q201" s="5" t="inlineStr"/>
      <c r="R201" s="5" t="inlineStr"/>
    </row>
    <row r="202" ht="20" customHeight="1">
      <c r="A202" s="2" t="inlineStr">
        <is>
          <t>ST201</t>
        </is>
      </c>
      <c r="B202" s="3" t="inlineStr">
        <is>
          <t>Analyzing Past 5 Years JEE Main Session Dates and Timeline Patterns</t>
        </is>
      </c>
      <c r="C202" s="2" t="inlineStr">
        <is>
          <t>JEE</t>
        </is>
      </c>
      <c r="D202" s="3" t="inlineStr">
        <is>
          <t>Exam Planning</t>
        </is>
      </c>
      <c r="E202" s="2" t="inlineStr">
        <is>
          <t>Explanation</t>
        </is>
      </c>
      <c r="F202" s="2" t="inlineStr">
        <is>
          <t>Reference</t>
        </is>
      </c>
      <c r="G202" s="3" t="inlineStr">
        <is>
          <t>jee main exam date trends historical</t>
        </is>
      </c>
      <c r="H202" s="3" t="inlineStr">
        <is>
          <t>nta exam schedule pattern, session 1 and 2 date gaps, historical notification timeline</t>
        </is>
      </c>
      <c r="I202" s="3" t="inlineStr">
        <is>
          <t>JEE Exam Countdown</t>
        </is>
      </c>
      <c r="J202" s="3" t="inlineStr">
        <is>
          <t>/jee/countdown</t>
        </is>
      </c>
      <c r="K202" s="3" t="inlineStr">
        <is>
          <t>Review of NTA's operational timelines from notification release to application correction, admit card issuance, and exam days.</t>
        </is>
      </c>
      <c r="L202" s="2" t="inlineStr">
        <is>
          <t>YES</t>
        </is>
      </c>
      <c r="M202" s="2" t="inlineStr">
        <is>
          <t>LOW</t>
        </is>
      </c>
      <c r="N202" s="2" t="inlineStr">
        <is>
          <t>READY</t>
        </is>
      </c>
      <c r="O202" s="3" t="inlineStr"/>
      <c r="P202" s="3" t="inlineStr"/>
      <c r="Q202" s="3" t="inlineStr"/>
      <c r="R202" s="3" t="inlineStr"/>
    </row>
    <row r="203" ht="20" customHeight="1">
      <c r="A203" s="4" t="inlineStr">
        <is>
          <t>ST202</t>
        </is>
      </c>
      <c r="B203" s="5" t="inlineStr">
        <is>
          <t>How to Use Pomodoro Sessions Effectively During Intensive JEE Revision</t>
        </is>
      </c>
      <c r="C203" s="4" t="inlineStr">
        <is>
          <t>JEE</t>
        </is>
      </c>
      <c r="D203" s="5" t="inlineStr">
        <is>
          <t>Exam Planning</t>
        </is>
      </c>
      <c r="E203" s="4" t="inlineStr">
        <is>
          <t>How-To</t>
        </is>
      </c>
      <c r="F203" s="4" t="inlineStr">
        <is>
          <t>How-To</t>
        </is>
      </c>
      <c r="G203" s="5" t="inlineStr">
        <is>
          <t>pomodoro technique for jee preparation</t>
        </is>
      </c>
      <c r="H203" s="5" t="inlineStr">
        <is>
          <t>study intervals for competitive exams, 50 minute study blocks, productivity techniques engineering prep</t>
        </is>
      </c>
      <c r="I203" s="5" t="inlineStr">
        <is>
          <t>JEE Exam Countdown</t>
        </is>
      </c>
      <c r="J203" s="5" t="inlineStr">
        <is>
          <t>/jee/countdown</t>
        </is>
      </c>
      <c r="K203" s="5" t="inlineStr">
        <is>
          <t>Adapting the standard Pomodoro into 90-minute or 180-minute blocks that train mental endurance for 3-hour continuous examination sessions.</t>
        </is>
      </c>
      <c r="L203" s="4" t="inlineStr">
        <is>
          <t>YES</t>
        </is>
      </c>
      <c r="M203" s="4" t="inlineStr">
        <is>
          <t>MEDIUM</t>
        </is>
      </c>
      <c r="N203" s="4" t="inlineStr">
        <is>
          <t>READY</t>
        </is>
      </c>
      <c r="O203" s="5" t="inlineStr"/>
      <c r="P203" s="5" t="inlineStr"/>
      <c r="Q203" s="5" t="inlineStr"/>
      <c r="R203" s="5" t="inlineStr"/>
    </row>
    <row r="204" ht="20" customHeight="1">
      <c r="A204" s="2" t="inlineStr">
        <is>
          <t>ST203</t>
        </is>
      </c>
      <c r="B204" s="3" t="inlineStr">
        <is>
          <t>Last-Minute Inorganic Chemistry Revision: Memory Retaining Strategies</t>
        </is>
      </c>
      <c r="C204" s="2" t="inlineStr">
        <is>
          <t>JEE</t>
        </is>
      </c>
      <c r="D204" s="3" t="inlineStr">
        <is>
          <t>Exam Planning</t>
        </is>
      </c>
      <c r="E204" s="2" t="inlineStr">
        <is>
          <t>Guide</t>
        </is>
      </c>
      <c r="F204" s="2" t="inlineStr">
        <is>
          <t>How-To</t>
        </is>
      </c>
      <c r="G204" s="3" t="inlineStr">
        <is>
          <t>inorganic chemistry last minute revision</t>
        </is>
      </c>
      <c r="H204" s="3" t="inlineStr">
        <is>
          <t>memorizing periodic table reactions, ncert inorganic revision method, chemistry quick marks</t>
        </is>
      </c>
      <c r="I204" s="3" t="inlineStr">
        <is>
          <t>JEE Exam Countdown</t>
        </is>
      </c>
      <c r="J204" s="3" t="inlineStr">
        <is>
          <t>/jee/countdown</t>
        </is>
      </c>
      <c r="K204" s="3" t="inlineStr">
        <is>
          <t>Mnemonics, daily flashcard reviews, and targeted NCERT table scanning techniques for the final 10 days.</t>
        </is>
      </c>
      <c r="L204" s="2" t="inlineStr">
        <is>
          <t>YES</t>
        </is>
      </c>
      <c r="M204" s="2" t="inlineStr">
        <is>
          <t>MEDIUM</t>
        </is>
      </c>
      <c r="N204" s="2" t="inlineStr">
        <is>
          <t>READY</t>
        </is>
      </c>
      <c r="O204" s="3" t="inlineStr"/>
      <c r="P204" s="3" t="inlineStr"/>
      <c r="Q204" s="3" t="inlineStr"/>
      <c r="R204" s="3" t="inlineStr"/>
    </row>
    <row r="205" ht="20" customHeight="1">
      <c r="A205" s="4" t="inlineStr">
        <is>
          <t>ST204</t>
        </is>
      </c>
      <c r="B205" s="5" t="inlineStr">
        <is>
          <t>Managing Technical Glitches and Mouse/System Freezes at NTA Test Centers</t>
        </is>
      </c>
      <c r="C205" s="4" t="inlineStr">
        <is>
          <t>JEE</t>
        </is>
      </c>
      <c r="D205" s="5" t="inlineStr">
        <is>
          <t>Exam Planning</t>
        </is>
      </c>
      <c r="E205" s="4" t="inlineStr">
        <is>
          <t>Guide</t>
        </is>
      </c>
      <c r="F205" s="4" t="inlineStr">
        <is>
          <t>How-To</t>
        </is>
      </c>
      <c r="G205" s="5" t="inlineStr">
        <is>
          <t>what to do if computer freezes during jee main</t>
        </is>
      </c>
      <c r="H205" s="5" t="inlineStr">
        <is>
          <t>nta lab technical issues, computer glitch exam hall, invigilator reporting procedure</t>
        </is>
      </c>
      <c r="I205" s="5" t="inlineStr">
        <is>
          <t>JEE Exam Countdown</t>
        </is>
      </c>
      <c r="J205" s="5" t="inlineStr">
        <is>
          <t>/jee/countdown</t>
        </is>
      </c>
      <c r="K205" s="5" t="inlineStr">
        <is>
          <t>Protocol for candidate reassurance: NTA server timers freeze automatically on client-side crashes, and no time is lost when systems are swapped.</t>
        </is>
      </c>
      <c r="L205" s="4" t="inlineStr">
        <is>
          <t>YES</t>
        </is>
      </c>
      <c r="M205" s="4" t="inlineStr">
        <is>
          <t>MEDIUM</t>
        </is>
      </c>
      <c r="N205" s="4" t="inlineStr">
        <is>
          <t>READY</t>
        </is>
      </c>
      <c r="O205" s="5" t="inlineStr"/>
      <c r="P205" s="5" t="inlineStr"/>
      <c r="Q205" s="5" t="inlineStr"/>
      <c r="R205" s="5" t="inlineStr"/>
    </row>
    <row r="206" ht="20" customHeight="1">
      <c r="A206" s="2" t="inlineStr">
        <is>
          <t>ST205</t>
        </is>
      </c>
      <c r="B206" s="3" t="inlineStr">
        <is>
          <t>Post-Exam Decompression: What to Do Immediately After Your JEE Shift Ends</t>
        </is>
      </c>
      <c r="C206" s="2" t="inlineStr">
        <is>
          <t>JEE</t>
        </is>
      </c>
      <c r="D206" s="3" t="inlineStr">
        <is>
          <t>Exam Planning</t>
        </is>
      </c>
      <c r="E206" s="2" t="inlineStr">
        <is>
          <t>Guide</t>
        </is>
      </c>
      <c r="F206" s="2" t="inlineStr">
        <is>
          <t>Informational</t>
        </is>
      </c>
      <c r="G206" s="3" t="inlineStr">
        <is>
          <t>what to do after jee exam shift</t>
        </is>
      </c>
      <c r="H206" s="3" t="inlineStr">
        <is>
          <t>avoiding immediate answer key panic, resting after jee, transitioning to session 2</t>
        </is>
      </c>
      <c r="I206" s="3" t="inlineStr">
        <is>
          <t>JEE Exam Countdown</t>
        </is>
      </c>
      <c r="J206" s="3" t="inlineStr">
        <is>
          <t>/jee/countdown</t>
        </is>
      </c>
      <c r="K206" s="3" t="inlineStr">
        <is>
          <t>Healthy post-exam protocols: taking a 24-hour mental break, avoiding premature panic over unofficial memory-based answer discussions, and resetting.</t>
        </is>
      </c>
      <c r="L206" s="2" t="inlineStr">
        <is>
          <t>YES</t>
        </is>
      </c>
      <c r="M206" s="2" t="inlineStr">
        <is>
          <t>LOW</t>
        </is>
      </c>
      <c r="N206" s="2" t="inlineStr">
        <is>
          <t>READY</t>
        </is>
      </c>
      <c r="O206" s="3" t="inlineStr"/>
      <c r="P206" s="3" t="inlineStr"/>
      <c r="Q206" s="3" t="inlineStr"/>
      <c r="R206" s="3" t="inlineStr"/>
    </row>
    <row r="207" ht="20" customHeight="1">
      <c r="A207" s="4" t="inlineStr">
        <is>
          <t>ST206</t>
        </is>
      </c>
      <c r="B207" s="5" t="inlineStr">
        <is>
          <t>How to Handle Backlogs When There Are Only 60 Days Left for JEE</t>
        </is>
      </c>
      <c r="C207" s="4" t="inlineStr">
        <is>
          <t>JEE</t>
        </is>
      </c>
      <c r="D207" s="5" t="inlineStr">
        <is>
          <t>Exam Planning</t>
        </is>
      </c>
      <c r="E207" s="4" t="inlineStr">
        <is>
          <t>Planning Guide</t>
        </is>
      </c>
      <c r="F207" s="4" t="inlineStr">
        <is>
          <t>Planning</t>
        </is>
      </c>
      <c r="G207" s="5" t="inlineStr">
        <is>
          <t>how to clear backlogs for jee in 60 days</t>
        </is>
      </c>
      <c r="H207" s="5" t="inlineStr">
        <is>
          <t>clearing class 11 backlogs, incomplete syllabus strategy, prioritizing high yield topics</t>
        </is>
      </c>
      <c r="I207" s="5" t="inlineStr">
        <is>
          <t>JEE Exam Countdown</t>
        </is>
      </c>
      <c r="J207" s="5" t="inlineStr">
        <is>
          <t>/jee/countdown</t>
        </is>
      </c>
      <c r="K207" s="5" t="inlineStr">
        <is>
          <t>Practical triage: classifying backlog chapters into 'must-do high weightage', 'formula-only', and 'skip' to maximize net marks.</t>
        </is>
      </c>
      <c r="L207" s="4" t="inlineStr">
        <is>
          <t>YES</t>
        </is>
      </c>
      <c r="M207" s="4" t="inlineStr">
        <is>
          <t>HIGH</t>
        </is>
      </c>
      <c r="N207" s="4" t="inlineStr">
        <is>
          <t>READY</t>
        </is>
      </c>
      <c r="O207" s="5" t="inlineStr"/>
      <c r="P207" s="5" t="inlineStr"/>
      <c r="Q207" s="5" t="inlineStr"/>
      <c r="R207" s="5" t="inlineStr"/>
    </row>
    <row r="208" ht="20" customHeight="1">
      <c r="A208" s="2" t="inlineStr">
        <is>
          <t>ST207</t>
        </is>
      </c>
      <c r="B208" s="3" t="inlineStr">
        <is>
          <t>Why Taking Mock Tests in the Afternoon Shift (3 PM - 6 PM) Requires Conditioning</t>
        </is>
      </c>
      <c r="C208" s="2" t="inlineStr">
        <is>
          <t>JEE</t>
        </is>
      </c>
      <c r="D208" s="3" t="inlineStr">
        <is>
          <t>Exam Planning</t>
        </is>
      </c>
      <c r="E208" s="2" t="inlineStr">
        <is>
          <t>Explanation</t>
        </is>
      </c>
      <c r="F208" s="2" t="inlineStr">
        <is>
          <t>How-To</t>
        </is>
      </c>
      <c r="G208" s="3" t="inlineStr">
        <is>
          <t>afternoon shift preparation jee main</t>
        </is>
      </c>
      <c r="H208" s="3" t="inlineStr">
        <is>
          <t>overcoming post lunch lethargy exam, 3 to 6 shift practice, alertness training</t>
        </is>
      </c>
      <c r="I208" s="3" t="inlineStr">
        <is>
          <t>JEE Exam Countdown</t>
        </is>
      </c>
      <c r="J208" s="3" t="inlineStr">
        <is>
          <t>/jee/countdown</t>
        </is>
      </c>
      <c r="K208" s="3" t="inlineStr">
        <is>
          <t>Combat post-lunch circadian dips by training specifically during the 3 PM to 6 PM slot without napping for 3 weeks prior to the exam.</t>
        </is>
      </c>
      <c r="L208" s="2" t="inlineStr">
        <is>
          <t>YES</t>
        </is>
      </c>
      <c r="M208" s="2" t="inlineStr">
        <is>
          <t>MEDIUM</t>
        </is>
      </c>
      <c r="N208" s="2" t="inlineStr">
        <is>
          <t>READY</t>
        </is>
      </c>
      <c r="O208" s="3" t="inlineStr"/>
      <c r="P208" s="3" t="inlineStr"/>
      <c r="Q208" s="3" t="inlineStr"/>
      <c r="R208" s="3" t="inlineStr"/>
    </row>
    <row r="209" ht="20" customHeight="1">
      <c r="A209" s="4" t="inlineStr">
        <is>
          <t>ST208</t>
        </is>
      </c>
      <c r="B209" s="5" t="inlineStr">
        <is>
          <t>Countdown Strategy for Repeaters and Droppers: Avoiding Complacency</t>
        </is>
      </c>
      <c r="C209" s="4" t="inlineStr">
        <is>
          <t>JEE</t>
        </is>
      </c>
      <c r="D209" s="5" t="inlineStr">
        <is>
          <t>Exam Planning</t>
        </is>
      </c>
      <c r="E209" s="4" t="inlineStr">
        <is>
          <t>Planning Guide</t>
        </is>
      </c>
      <c r="F209" s="4" t="inlineStr">
        <is>
          <t>Planning</t>
        </is>
      </c>
      <c r="G209" s="5" t="inlineStr">
        <is>
          <t>dropper study strategy last 3 months</t>
        </is>
      </c>
      <c r="H209" s="5" t="inlineStr">
        <is>
          <t>repeater jee preparation countdown, avoiding burnout as a dropper, mock test intensity droppers</t>
        </is>
      </c>
      <c r="I209" s="5" t="inlineStr">
        <is>
          <t>JEE Exam Countdown</t>
        </is>
      </c>
      <c r="J209" s="5" t="inlineStr">
        <is>
          <t>/jee/countdown</t>
        </is>
      </c>
      <c r="K209" s="5" t="inlineStr">
        <is>
          <t>Tailored roadmap for dropper candidates focusing on eliminating recurring conceptual blind spots and managing social pressure.</t>
        </is>
      </c>
      <c r="L209" s="4" t="inlineStr">
        <is>
          <t>YES</t>
        </is>
      </c>
      <c r="M209" s="4" t="inlineStr">
        <is>
          <t>HIGH</t>
        </is>
      </c>
      <c r="N209" s="4" t="inlineStr">
        <is>
          <t>READY</t>
        </is>
      </c>
      <c r="O209" s="5" t="inlineStr"/>
      <c r="P209" s="5" t="inlineStr"/>
      <c r="Q209" s="5" t="inlineStr"/>
      <c r="R209" s="5" t="inlineStr"/>
    </row>
    <row r="210" ht="20" customHeight="1">
      <c r="A210" s="2" t="inlineStr">
        <is>
          <t>ST209</t>
        </is>
      </c>
      <c r="B210" s="3" t="inlineStr">
        <is>
          <t>How to Review Full Syllabus Mathematics in the Final 20 Days</t>
        </is>
      </c>
      <c r="C210" s="2" t="inlineStr">
        <is>
          <t>JEE</t>
        </is>
      </c>
      <c r="D210" s="3" t="inlineStr">
        <is>
          <t>Exam Planning</t>
        </is>
      </c>
      <c r="E210" s="2" t="inlineStr">
        <is>
          <t>Planning Guide</t>
        </is>
      </c>
      <c r="F210" s="2" t="inlineStr">
        <is>
          <t>Planning</t>
        </is>
      </c>
      <c r="G210" s="3" t="inlineStr">
        <is>
          <t>maths revision plan last 20 days jee</t>
        </is>
      </c>
      <c r="H210" s="3" t="inlineStr">
        <is>
          <t>revising mathematics quickly, high scoring maths chapters, formula booklet maths jee</t>
        </is>
      </c>
      <c r="I210" s="3" t="inlineStr">
        <is>
          <t>JEE Exam Countdown</t>
        </is>
      </c>
      <c r="J210" s="3" t="inlineStr">
        <is>
          <t>/jee/countdown</t>
        </is>
      </c>
      <c r="K210" s="3" t="inlineStr">
        <is>
          <t>Focused blueprint concentrating on high-ROI mathematical areas: Coordinate Geometry formulas, Vector-3D, Matrices, and Differential Equations.</t>
        </is>
      </c>
      <c r="L210" s="2" t="inlineStr">
        <is>
          <t>YES</t>
        </is>
      </c>
      <c r="M210" s="2" t="inlineStr">
        <is>
          <t>MEDIUM</t>
        </is>
      </c>
      <c r="N210" s="2" t="inlineStr">
        <is>
          <t>READY</t>
        </is>
      </c>
      <c r="O210" s="3" t="inlineStr"/>
      <c r="P210" s="3" t="inlineStr"/>
      <c r="Q210" s="3" t="inlineStr"/>
      <c r="R210" s="3" t="inlineStr"/>
    </row>
    <row r="211" ht="20" customHeight="1">
      <c r="A211" s="4" t="inlineStr">
        <is>
          <t>ST210</t>
        </is>
      </c>
      <c r="B211" s="5" t="inlineStr">
        <is>
          <t>Mock Test Score Stagnation: What to Change in the Final Month</t>
        </is>
      </c>
      <c r="C211" s="4" t="inlineStr">
        <is>
          <t>JEE</t>
        </is>
      </c>
      <c r="D211" s="5" t="inlineStr">
        <is>
          <t>Exam Planning</t>
        </is>
      </c>
      <c r="E211" s="4" t="inlineStr">
        <is>
          <t>Guide</t>
        </is>
      </c>
      <c r="F211" s="4" t="inlineStr">
        <is>
          <t>Planning</t>
        </is>
      </c>
      <c r="G211" s="5" t="inlineStr">
        <is>
          <t>what to do if mock scores are not improving</t>
        </is>
      </c>
      <c r="H211" s="5" t="inlineStr">
        <is>
          <t>stuck at 120 marks last month, diagnosing test errors, adjusting exam strategy</t>
        </is>
      </c>
      <c r="I211" s="5" t="inlineStr">
        <is>
          <t>JEE Exam Countdown</t>
        </is>
      </c>
      <c r="J211" s="5" t="inlineStr">
        <is>
          <t>/jee/countdown</t>
        </is>
      </c>
      <c r="K211" s="5" t="inlineStr">
        <is>
          <t>Diagnostic checklist to determine whether stagnation stems from weak syllabus coverage, poor speed, or unchecked negative marks.</t>
        </is>
      </c>
      <c r="L211" s="4" t="inlineStr">
        <is>
          <t>YES</t>
        </is>
      </c>
      <c r="M211" s="4" t="inlineStr">
        <is>
          <t>HIGH</t>
        </is>
      </c>
      <c r="N211" s="4" t="inlineStr">
        <is>
          <t>READY</t>
        </is>
      </c>
      <c r="O211" s="5" t="inlineStr"/>
      <c r="P211" s="5" t="inlineStr"/>
      <c r="Q211" s="5" t="inlineStr"/>
      <c r="R211" s="5" t="inlineStr"/>
    </row>
    <row r="212" ht="20" customHeight="1">
      <c r="A212" s="2" t="inlineStr">
        <is>
          <t>ST211</t>
        </is>
      </c>
      <c r="B212" s="3" t="inlineStr">
        <is>
          <t>Understanding the CBT (Computer Based Test) Interface Before Exam Day</t>
        </is>
      </c>
      <c r="C212" s="2" t="inlineStr">
        <is>
          <t>JEE</t>
        </is>
      </c>
      <c r="D212" s="3" t="inlineStr">
        <is>
          <t>Exam Planning</t>
        </is>
      </c>
      <c r="E212" s="2" t="inlineStr">
        <is>
          <t>Guide</t>
        </is>
      </c>
      <c r="F212" s="2" t="inlineStr">
        <is>
          <t>Educational</t>
        </is>
      </c>
      <c r="G212" s="3" t="inlineStr">
        <is>
          <t>nta cbt interface guide</t>
        </is>
      </c>
      <c r="H212" s="3" t="inlineStr">
        <is>
          <t>jee main computer test buttons, marked for review green purple status, answering cbt questions</t>
        </is>
      </c>
      <c r="I212" s="3" t="inlineStr">
        <is>
          <t>JEE Exam Countdown</t>
        </is>
      </c>
      <c r="J212" s="3" t="inlineStr">
        <is>
          <t>/jee/countdown</t>
        </is>
      </c>
      <c r="K212" s="3" t="inlineStr">
        <is>
          <t>Detailed guide to NTA's question palette colors (green, red, purple, marked for review) and evaluation rules for answered vs unanswered review flags.</t>
        </is>
      </c>
      <c r="L212" s="2" t="inlineStr">
        <is>
          <t>YES</t>
        </is>
      </c>
      <c r="M212" s="2" t="inlineStr">
        <is>
          <t>HIGH</t>
        </is>
      </c>
      <c r="N212" s="2" t="inlineStr">
        <is>
          <t>READY</t>
        </is>
      </c>
      <c r="O212" s="3" t="inlineStr"/>
      <c r="P212" s="3" t="inlineStr"/>
      <c r="Q212" s="3" t="inlineStr"/>
      <c r="R212" s="3" t="inlineStr"/>
    </row>
    <row r="213" ht="20" customHeight="1">
      <c r="A213" s="4" t="inlineStr">
        <is>
          <t>ST212</t>
        </is>
      </c>
      <c r="B213" s="5" t="inlineStr">
        <is>
          <t>How to Allocate Your 180 Minutes Across Physics, Chemistry, and Math</t>
        </is>
      </c>
      <c r="C213" s="4" t="inlineStr">
        <is>
          <t>JEE</t>
        </is>
      </c>
      <c r="D213" s="5" t="inlineStr">
        <is>
          <t>Exam Planning</t>
        </is>
      </c>
      <c r="E213" s="4" t="inlineStr">
        <is>
          <t>Guide</t>
        </is>
      </c>
      <c r="F213" s="4" t="inlineStr">
        <is>
          <t>Planning</t>
        </is>
      </c>
      <c r="G213" s="5" t="inlineStr">
        <is>
          <t>time management during 3 hours jee main</t>
        </is>
      </c>
      <c r="H213" s="5" t="inlineStr">
        <is>
          <t>how much time for chemistry in jee, physics math time allocation, optimal time distribution exam</t>
        </is>
      </c>
      <c r="I213" s="5" t="inlineStr">
        <is>
          <t>JEE Exam Countdown</t>
        </is>
      </c>
      <c r="J213" s="5" t="inlineStr">
        <is>
          <t>/jee/countdown</t>
        </is>
      </c>
      <c r="K213" s="5" t="inlineStr">
        <is>
          <t>Standard proven benchmark: 40-45 minutes for Chemistry, 50-55 minutes for Physics, 70-80 minutes for Math, and 10 minutes buffer.</t>
        </is>
      </c>
      <c r="L213" s="4" t="inlineStr">
        <is>
          <t>YES</t>
        </is>
      </c>
      <c r="M213" s="4" t="inlineStr">
        <is>
          <t>HIGH</t>
        </is>
      </c>
      <c r="N213" s="4" t="inlineStr">
        <is>
          <t>READY</t>
        </is>
      </c>
      <c r="O213" s="5" t="inlineStr"/>
      <c r="P213" s="5" t="inlineStr"/>
      <c r="Q213" s="5" t="inlineStr"/>
      <c r="R213" s="5" t="inlineStr"/>
    </row>
    <row r="214" ht="20" customHeight="1">
      <c r="A214" s="2" t="inlineStr">
        <is>
          <t>ST213</t>
        </is>
      </c>
      <c r="B214" s="3" t="inlineStr">
        <is>
          <t>Admit Card Discrepancies: What to Do If Photo or Signature Is Blurred</t>
        </is>
      </c>
      <c r="C214" s="2" t="inlineStr">
        <is>
          <t>JEE</t>
        </is>
      </c>
      <c r="D214" s="3" t="inlineStr">
        <is>
          <t>Exam Planning</t>
        </is>
      </c>
      <c r="E214" s="2" t="inlineStr">
        <is>
          <t>Guide</t>
        </is>
      </c>
      <c r="F214" s="2" t="inlineStr">
        <is>
          <t>How-To</t>
        </is>
      </c>
      <c r="G214" s="3" t="inlineStr">
        <is>
          <t>jee main admit card photo discrepancy</t>
        </is>
      </c>
      <c r="H214" s="3" t="inlineStr">
        <is>
          <t>nta helpline admit card error, name spelling mistake admit card, reporting exam discrepancies</t>
        </is>
      </c>
      <c r="I214" s="3" t="inlineStr">
        <is>
          <t>JEE Exam Countdown</t>
        </is>
      </c>
      <c r="J214" s="3" t="inlineStr">
        <is>
          <t>/jee/countdown</t>
        </is>
      </c>
      <c r="K214" s="3" t="inlineStr">
        <is>
          <t>Steps to contact NTA helpline, carry supporting government photo ID cards, and get allowed into the examination hall via undertaking.</t>
        </is>
      </c>
      <c r="L214" s="2" t="inlineStr">
        <is>
          <t>YES</t>
        </is>
      </c>
      <c r="M214" s="2" t="inlineStr">
        <is>
          <t>MEDIUM</t>
        </is>
      </c>
      <c r="N214" s="2" t="inlineStr">
        <is>
          <t>READY</t>
        </is>
      </c>
      <c r="O214" s="3" t="inlineStr"/>
      <c r="P214" s="3" t="inlineStr"/>
      <c r="Q214" s="3" t="inlineStr"/>
      <c r="R214" s="3" t="inlineStr"/>
    </row>
    <row r="215" ht="20" customHeight="1">
      <c r="A215" s="4" t="inlineStr">
        <is>
          <t>ST214</t>
        </is>
      </c>
      <c r="B215" s="5" t="inlineStr">
        <is>
          <t>Countdown Plan for Students Starting Serious Revision from Scratch at 60 Days</t>
        </is>
      </c>
      <c r="C215" s="4" t="inlineStr">
        <is>
          <t>JEE</t>
        </is>
      </c>
      <c r="D215" s="5" t="inlineStr">
        <is>
          <t>Exam Planning</t>
        </is>
      </c>
      <c r="E215" s="4" t="inlineStr">
        <is>
          <t>Planning Guide</t>
        </is>
      </c>
      <c r="F215" s="4" t="inlineStr">
        <is>
          <t>Planning</t>
        </is>
      </c>
      <c r="G215" s="5" t="inlineStr">
        <is>
          <t>can i crack jee main in 2 months</t>
        </is>
      </c>
      <c r="H215" s="5" t="inlineStr">
        <is>
          <t>starting jee prep 60 days before, realistic target 2 months jee, scoring 140+ marks quickly</t>
        </is>
      </c>
      <c r="I215" s="5" t="inlineStr">
        <is>
          <t>JEE Exam Countdown</t>
        </is>
      </c>
      <c r="J215" s="5" t="inlineStr">
        <is>
          <t>/jee/countdown</t>
        </is>
      </c>
      <c r="K215" s="5" t="inlineStr">
        <is>
          <t>Realistic, honest appraisal: targeting a safe 95-97 percentile by mastering 50 high-yield chapters rather than attempting the entire 90-chapter syllabus.</t>
        </is>
      </c>
      <c r="L215" s="4" t="inlineStr">
        <is>
          <t>YES</t>
        </is>
      </c>
      <c r="M215" s="4" t="inlineStr">
        <is>
          <t>HIGH</t>
        </is>
      </c>
      <c r="N215" s="4" t="inlineStr">
        <is>
          <t>READY</t>
        </is>
      </c>
      <c r="O215" s="5" t="inlineStr"/>
      <c r="P215" s="5" t="inlineStr"/>
      <c r="Q215" s="5" t="inlineStr"/>
      <c r="R215" s="5" t="inlineStr"/>
    </row>
    <row r="216" ht="20" customHeight="1">
      <c r="A216" s="2" t="inlineStr">
        <is>
          <t>ST215</t>
        </is>
      </c>
      <c r="B216" s="3" t="inlineStr">
        <is>
          <t>Mental Rehearsal and Visualization: Enhancing Exam Day Execution</t>
        </is>
      </c>
      <c r="C216" s="2" t="inlineStr">
        <is>
          <t>JEE</t>
        </is>
      </c>
      <c r="D216" s="3" t="inlineStr">
        <is>
          <t>Exam Planning</t>
        </is>
      </c>
      <c r="E216" s="2" t="inlineStr">
        <is>
          <t>Guide</t>
        </is>
      </c>
      <c r="F216" s="2" t="inlineStr">
        <is>
          <t>Informational</t>
        </is>
      </c>
      <c r="G216" s="3" t="inlineStr">
        <is>
          <t>visualization techniques for exam day</t>
        </is>
      </c>
      <c r="H216" s="3" t="inlineStr">
        <is>
          <t>mental rehearsal jee, psychological preparation test taking, staying calm in exam hall</t>
        </is>
      </c>
      <c r="I216" s="3" t="inlineStr">
        <is>
          <t>JEE Exam Countdown</t>
        </is>
      </c>
      <c r="J216" s="3" t="inlineStr">
        <is>
          <t>/jee/countdown</t>
        </is>
      </c>
      <c r="K216" s="3" t="inlineStr">
        <is>
          <t>Techniques used by top rankers to mentally walk through logging into the computer, handling a tough first question, and maintaining emotional composure.</t>
        </is>
      </c>
      <c r="L216" s="2" t="inlineStr">
        <is>
          <t>YES</t>
        </is>
      </c>
      <c r="M216" s="2" t="inlineStr">
        <is>
          <t>LOW</t>
        </is>
      </c>
      <c r="N216" s="2" t="inlineStr">
        <is>
          <t>READY</t>
        </is>
      </c>
      <c r="O216" s="3" t="inlineStr"/>
      <c r="P216" s="3" t="inlineStr"/>
      <c r="Q216" s="3" t="inlineStr"/>
      <c r="R216" s="3" t="inlineStr"/>
    </row>
    <row r="217" ht="20" customHeight="1">
      <c r="A217" s="4" t="inlineStr">
        <is>
          <t>ST216</t>
        </is>
      </c>
      <c r="B217" s="5" t="inlineStr">
        <is>
          <t>How to Calculate Accurate Total Score When Questions Have Multiple Correct Options</t>
        </is>
      </c>
      <c r="C217" s="4" t="inlineStr">
        <is>
          <t>JEE</t>
        </is>
      </c>
      <c r="D217" s="5" t="inlineStr">
        <is>
          <t>Marks Calculator</t>
        </is>
      </c>
      <c r="E217" s="4" t="inlineStr">
        <is>
          <t>Guide</t>
        </is>
      </c>
      <c r="F217" s="4" t="inlineStr">
        <is>
          <t>How-To</t>
        </is>
      </c>
      <c r="G217" s="5" t="inlineStr">
        <is>
          <t>multiple correct answer keys jee marks calculation</t>
        </is>
      </c>
      <c r="H217" s="5" t="inlineStr">
        <is>
          <t>nta answer key multiple options, scoring disputed questions, raw mark computation</t>
        </is>
      </c>
      <c r="I217" s="5" t="inlineStr">
        <is>
          <t>JEE Marks Calculator</t>
        </is>
      </c>
      <c r="J217" s="5" t="inlineStr">
        <is>
          <t>/jee/marks-calculator</t>
        </is>
      </c>
      <c r="K217" s="5" t="inlineStr">
        <is>
          <t>Explain how NTA awards +4 to any candidate who marked either of the recognized correct options, and how to input this in the Marks Calculator.</t>
        </is>
      </c>
      <c r="L217" s="4" t="inlineStr">
        <is>
          <t>YES</t>
        </is>
      </c>
      <c r="M217" s="4" t="inlineStr">
        <is>
          <t>MEDIUM</t>
        </is>
      </c>
      <c r="N217" s="4" t="inlineStr">
        <is>
          <t>READY</t>
        </is>
      </c>
      <c r="O217" s="5" t="inlineStr"/>
      <c r="P217" s="5" t="inlineStr"/>
      <c r="Q217" s="5" t="inlineStr"/>
      <c r="R217" s="5" t="inlineStr"/>
    </row>
    <row r="218" ht="20" customHeight="1">
      <c r="A218" s="2" t="inlineStr">
        <is>
          <t>ST217</t>
        </is>
      </c>
      <c r="B218" s="3" t="inlineStr">
        <is>
          <t>How Many Numerical Questions Should You Attempt in JEE Main Section B?</t>
        </is>
      </c>
      <c r="C218" s="2" t="inlineStr">
        <is>
          <t>JEE</t>
        </is>
      </c>
      <c r="D218" s="3" t="inlineStr">
        <is>
          <t>Marks Calculator</t>
        </is>
      </c>
      <c r="E218" s="2" t="inlineStr">
        <is>
          <t>Guide</t>
        </is>
      </c>
      <c r="F218" s="2" t="inlineStr">
        <is>
          <t>Planning</t>
        </is>
      </c>
      <c r="G218" s="3" t="inlineStr">
        <is>
          <t>how many questions to attempt in section b jee</t>
        </is>
      </c>
      <c r="H218" s="3" t="inlineStr">
        <is>
          <t>section b strategy jee main, selecting 5 out of 10 numericals, negative marking in numericals</t>
        </is>
      </c>
      <c r="I218" s="3" t="inlineStr">
        <is>
          <t>JEE Marks Calculator</t>
        </is>
      </c>
      <c r="J218" s="3" t="inlineStr">
        <is>
          <t>/jee/marks-calculator</t>
        </is>
      </c>
      <c r="K218" s="3" t="inlineStr">
        <is>
          <t>Examine strategy for picking the 5 easiest numerical questions out of 10 options to safeguard marks and avoid unnecessary negative penalties.</t>
        </is>
      </c>
      <c r="L218" s="2" t="inlineStr">
        <is>
          <t>YES</t>
        </is>
      </c>
      <c r="M218" s="2" t="inlineStr">
        <is>
          <t>HIGH</t>
        </is>
      </c>
      <c r="N218" s="2" t="inlineStr">
        <is>
          <t>READY</t>
        </is>
      </c>
      <c r="O218" s="3" t="inlineStr"/>
      <c r="P218" s="3" t="inlineStr"/>
      <c r="Q218" s="3" t="inlineStr"/>
      <c r="R218" s="3" t="inlineStr"/>
    </row>
    <row r="219" ht="20" customHeight="1">
      <c r="A219" s="4" t="inlineStr">
        <is>
          <t>ST218</t>
        </is>
      </c>
      <c r="B219" s="5" t="inlineStr">
        <is>
          <t>Step-by-Step Guide to Calculating Accuracy Rate from Your Response Sheet</t>
        </is>
      </c>
      <c r="C219" s="4" t="inlineStr">
        <is>
          <t>JEE</t>
        </is>
      </c>
      <c r="D219" s="5" t="inlineStr">
        <is>
          <t>Marks Calculator</t>
        </is>
      </c>
      <c r="E219" s="4" t="inlineStr">
        <is>
          <t>How-To</t>
        </is>
      </c>
      <c r="F219" s="4" t="inlineStr">
        <is>
          <t>How-To</t>
        </is>
      </c>
      <c r="G219" s="5" t="inlineStr">
        <is>
          <t>how to calculate accuracy rate in jee</t>
        </is>
      </c>
      <c r="H219" s="5" t="inlineStr">
        <is>
          <t>accuracy percentage formula exam, measuring test efficiency, evaluating mock test accuracy</t>
        </is>
      </c>
      <c r="I219" s="5" t="inlineStr">
        <is>
          <t>JEE Marks Calculator</t>
        </is>
      </c>
      <c r="J219" s="5" t="inlineStr">
        <is>
          <t>/jee/marks-calculator</t>
        </is>
      </c>
      <c r="K219" s="5" t="inlineStr">
        <is>
          <t>Formula: Accuracy = (Correct Answers / Total Attempted Questions) * 100. Show how tracking this metric exposes careless mistakes.</t>
        </is>
      </c>
      <c r="L219" s="4" t="inlineStr">
        <is>
          <t>YES</t>
        </is>
      </c>
      <c r="M219" s="4" t="inlineStr">
        <is>
          <t>HIGH</t>
        </is>
      </c>
      <c r="N219" s="4" t="inlineStr">
        <is>
          <t>READY</t>
        </is>
      </c>
      <c r="O219" s="5" t="inlineStr"/>
      <c r="P219" s="5" t="inlineStr"/>
      <c r="Q219" s="5" t="inlineStr"/>
      <c r="R219" s="5" t="inlineStr"/>
    </row>
    <row r="220" ht="20" customHeight="1">
      <c r="A220" s="2" t="inlineStr">
        <is>
          <t>ST219</t>
        </is>
      </c>
      <c r="B220" s="3" t="inlineStr">
        <is>
          <t>Why Careless Calculation Errors Cost 5 Marks Instead of 1 Mark in JEE Main</t>
        </is>
      </c>
      <c r="C220" s="2" t="inlineStr">
        <is>
          <t>JEE</t>
        </is>
      </c>
      <c r="D220" s="3" t="inlineStr">
        <is>
          <t>Marks Calculator</t>
        </is>
      </c>
      <c r="E220" s="2" t="inlineStr">
        <is>
          <t>Explanation</t>
        </is>
      </c>
      <c r="F220" s="2" t="inlineStr">
        <is>
          <t>Educational</t>
        </is>
      </c>
      <c r="G220" s="3" t="inlineStr">
        <is>
          <t>why negative marking costs 5 marks</t>
        </is>
      </c>
      <c r="H220" s="3" t="inlineStr">
        <is>
          <t>true cost of silly mistake jee, 4 marks lost plus 1 negative, calculation error impact</t>
        </is>
      </c>
      <c r="I220" s="3" t="inlineStr">
        <is>
          <t>JEE Marks Calculator</t>
        </is>
      </c>
      <c r="J220" s="3" t="inlineStr">
        <is>
          <t>/jee/marks-calculator</t>
        </is>
      </c>
      <c r="K220" s="3" t="inlineStr">
        <is>
          <t>Explain the opportunity cost mathematics: getting a question wrong awards -1 instead of +4, creating a net 5-mark deficit relative to answering correctly.</t>
        </is>
      </c>
      <c r="L220" s="2" t="inlineStr">
        <is>
          <t>YES</t>
        </is>
      </c>
      <c r="M220" s="2" t="inlineStr">
        <is>
          <t>HIGH</t>
        </is>
      </c>
      <c r="N220" s="2" t="inlineStr">
        <is>
          <t>READY</t>
        </is>
      </c>
      <c r="O220" s="3" t="inlineStr"/>
      <c r="P220" s="3" t="inlineStr"/>
      <c r="Q220" s="3" t="inlineStr"/>
      <c r="R220" s="3" t="inlineStr"/>
    </row>
    <row r="221" ht="20" customHeight="1">
      <c r="A221" s="4" t="inlineStr">
        <is>
          <t>ST220</t>
        </is>
      </c>
      <c r="B221" s="5" t="inlineStr">
        <is>
          <t>How to Use a Marks Calculator to Simulate 'What-If' Scoring Scenarios</t>
        </is>
      </c>
      <c r="C221" s="4" t="inlineStr">
        <is>
          <t>JEE</t>
        </is>
      </c>
      <c r="D221" s="5" t="inlineStr">
        <is>
          <t>Marks Calculator</t>
        </is>
      </c>
      <c r="E221" s="4" t="inlineStr">
        <is>
          <t>Calculator Guide</t>
        </is>
      </c>
      <c r="F221" s="4" t="inlineStr">
        <is>
          <t>Calculator</t>
        </is>
      </c>
      <c r="G221" s="5" t="inlineStr">
        <is>
          <t>what if score simulation jee main</t>
        </is>
      </c>
      <c r="H221" s="5" t="inlineStr">
        <is>
          <t>simulating jee marks, how accuracy changes percentile, target score calculation</t>
        </is>
      </c>
      <c r="I221" s="5" t="inlineStr">
        <is>
          <t>JEE Marks Calculator</t>
        </is>
      </c>
      <c r="J221" s="5" t="inlineStr">
        <is>
          <t>/jee/marks-calculator</t>
        </is>
      </c>
      <c r="K221" s="5" t="inlineStr">
        <is>
          <t>Guide students through testing alternative outcomes: what if 5 wrong guesses were left unattempted? How does that change the total score?</t>
        </is>
      </c>
      <c r="L221" s="4" t="inlineStr">
        <is>
          <t>YES</t>
        </is>
      </c>
      <c r="M221" s="4" t="inlineStr">
        <is>
          <t>HIGH</t>
        </is>
      </c>
      <c r="N221" s="4" t="inlineStr">
        <is>
          <t>READY</t>
        </is>
      </c>
      <c r="O221" s="5" t="inlineStr"/>
      <c r="P221" s="5" t="inlineStr"/>
      <c r="Q221" s="5" t="inlineStr"/>
      <c r="R221" s="5" t="inlineStr"/>
    </row>
    <row r="222" ht="20" customHeight="1">
      <c r="A222" s="2" t="inlineStr">
        <is>
          <t>ST221</t>
        </is>
      </c>
      <c r="B222" s="3" t="inlineStr">
        <is>
          <t>Common Decimal and Rounding Off Errors in JEE Main Numerical Questions</t>
        </is>
      </c>
      <c r="C222" s="2" t="inlineStr">
        <is>
          <t>JEE</t>
        </is>
      </c>
      <c r="D222" s="3" t="inlineStr">
        <is>
          <t>Marks Calculator</t>
        </is>
      </c>
      <c r="E222" s="2" t="inlineStr">
        <is>
          <t>Guide</t>
        </is>
      </c>
      <c r="F222" s="2" t="inlineStr">
        <is>
          <t>Reference</t>
        </is>
      </c>
      <c r="G222" s="3" t="inlineStr">
        <is>
          <t>rounding off rules in jee main numerical questions</t>
        </is>
      </c>
      <c r="H222" s="3" t="inlineStr">
        <is>
          <t>decimal precision nta numericals, rounding up or down jee, truncated answers exam</t>
        </is>
      </c>
      <c r="I222" s="3" t="inlineStr">
        <is>
          <t>JEE Marks Calculator</t>
        </is>
      </c>
      <c r="J222" s="3" t="inlineStr">
        <is>
          <t>/jee/marks-calculator</t>
        </is>
      </c>
      <c r="K222" s="3" t="inlineStr">
        <is>
          <t>Review NTA instructions on rounding off numerical values to the nearest integer or specified decimal places, preventing avoidable zero-score outcomes.</t>
        </is>
      </c>
      <c r="L222" s="2" t="inlineStr">
        <is>
          <t>YES</t>
        </is>
      </c>
      <c r="M222" s="2" t="inlineStr">
        <is>
          <t>MEDIUM</t>
        </is>
      </c>
      <c r="N222" s="2" t="inlineStr">
        <is>
          <t>READY</t>
        </is>
      </c>
      <c r="O222" s="3" t="inlineStr"/>
      <c r="P222" s="3" t="inlineStr"/>
      <c r="Q222" s="3" t="inlineStr"/>
      <c r="R222" s="3" t="inlineStr"/>
    </row>
    <row r="223" ht="20" customHeight="1">
      <c r="A223" s="4" t="inlineStr">
        <is>
          <t>ST222</t>
        </is>
      </c>
      <c r="B223" s="5" t="inlineStr">
        <is>
          <t>How to Cross-Check Unofficial Coaching Answer Keys with NTA Provisional Key</t>
        </is>
      </c>
      <c r="C223" s="4" t="inlineStr">
        <is>
          <t>JEE</t>
        </is>
      </c>
      <c r="D223" s="5" t="inlineStr">
        <is>
          <t>Marks Calculator</t>
        </is>
      </c>
      <c r="E223" s="4" t="inlineStr">
        <is>
          <t>How-To</t>
        </is>
      </c>
      <c r="F223" s="4" t="inlineStr">
        <is>
          <t>How-To</t>
        </is>
      </c>
      <c r="G223" s="5" t="inlineStr">
        <is>
          <t>coaching answer key vs nta answer key</t>
        </is>
      </c>
      <c r="H223" s="5" t="inlineStr">
        <is>
          <t>allen resonance key difference, disputed answers jee, verifying response sheet</t>
        </is>
      </c>
      <c r="I223" s="5" t="inlineStr">
        <is>
          <t>JEE Marks Calculator</t>
        </is>
      </c>
      <c r="J223" s="5" t="inlineStr">
        <is>
          <t>/jee/marks-calculator</t>
        </is>
      </c>
      <c r="K223" s="5" t="inlineStr">
        <is>
          <t>Guide on resolving discrepancies between preliminary coaching solutions and official NTA provisional answer keys before raising formal challenges.</t>
        </is>
      </c>
      <c r="L223" s="4" t="inlineStr">
        <is>
          <t>YES</t>
        </is>
      </c>
      <c r="M223" s="4" t="inlineStr">
        <is>
          <t>MEDIUM</t>
        </is>
      </c>
      <c r="N223" s="4" t="inlineStr">
        <is>
          <t>READY</t>
        </is>
      </c>
      <c r="O223" s="5" t="inlineStr"/>
      <c r="P223" s="5" t="inlineStr"/>
      <c r="Q223" s="5" t="inlineStr"/>
      <c r="R223" s="5" t="inlineStr"/>
    </row>
    <row r="224" ht="20" customHeight="1">
      <c r="A224" s="2" t="inlineStr">
        <is>
          <t>ST223</t>
        </is>
      </c>
      <c r="B224" s="3" t="inlineStr">
        <is>
          <t>Calculating Subject-Wise Efficiency: Marks Scored per Minute Invested</t>
        </is>
      </c>
      <c r="C224" s="2" t="inlineStr">
        <is>
          <t>JEE</t>
        </is>
      </c>
      <c r="D224" s="3" t="inlineStr">
        <is>
          <t>Marks Calculator</t>
        </is>
      </c>
      <c r="E224" s="2" t="inlineStr">
        <is>
          <t>Formula Guide</t>
        </is>
      </c>
      <c r="F224" s="2" t="inlineStr">
        <is>
          <t>Educational</t>
        </is>
      </c>
      <c r="G224" s="3" t="inlineStr">
        <is>
          <t>marks per minute efficiency in jee</t>
        </is>
      </c>
      <c r="H224" s="3" t="inlineStr">
        <is>
          <t>exam time efficiency formula, subject return on investment jee, scoring rate analysis</t>
        </is>
      </c>
      <c r="I224" s="3" t="inlineStr">
        <is>
          <t>JEE Marks Calculator</t>
        </is>
      </c>
      <c r="J224" s="3" t="inlineStr">
        <is>
          <t>/jee/marks-calculator</t>
        </is>
      </c>
      <c r="K224" s="3" t="inlineStr">
        <is>
          <t>Introduce efficiency metric: Marks Scored / Minutes Spent. Demonstrate why Chemistry often yields 1.5 marks/min while Math yields 0.6 marks/min.</t>
        </is>
      </c>
      <c r="L224" s="2" t="inlineStr">
        <is>
          <t>YES</t>
        </is>
      </c>
      <c r="M224" s="2" t="inlineStr">
        <is>
          <t>MEDIUM</t>
        </is>
      </c>
      <c r="N224" s="2" t="inlineStr">
        <is>
          <t>READY</t>
        </is>
      </c>
      <c r="O224" s="3" t="inlineStr"/>
      <c r="P224" s="3" t="inlineStr"/>
      <c r="Q224" s="3" t="inlineStr"/>
      <c r="R224" s="3" t="inlineStr"/>
    </row>
    <row r="225" ht="20" customHeight="1">
      <c r="A225" s="4" t="inlineStr">
        <is>
          <t>ST224</t>
        </is>
      </c>
      <c r="B225" s="5" t="inlineStr">
        <is>
          <t>Why Do Students Overestimate Their JEE Marks After Leaving the Exam Hall?</t>
        </is>
      </c>
      <c r="C225" s="4" t="inlineStr">
        <is>
          <t>JEE</t>
        </is>
      </c>
      <c r="D225" s="5" t="inlineStr">
        <is>
          <t>Marks Calculator</t>
        </is>
      </c>
      <c r="E225" s="4" t="inlineStr">
        <is>
          <t>Explanation</t>
        </is>
      </c>
      <c r="F225" s="4" t="inlineStr">
        <is>
          <t>Informational</t>
        </is>
      </c>
      <c r="G225" s="5" t="inlineStr">
        <is>
          <t>why do students overestimate jee marks</t>
        </is>
      </c>
      <c r="H225" s="5" t="inlineStr">
        <is>
          <t>memory based answer key bias, post exam optimism, calculation reality check</t>
        </is>
      </c>
      <c r="I225" s="5" t="inlineStr">
        <is>
          <t>JEE Marks Calculator</t>
        </is>
      </c>
      <c r="J225" s="5" t="inlineStr">
        <is>
          <t>/jee/marks-calculator</t>
        </is>
      </c>
      <c r="K225" s="5" t="inlineStr">
        <is>
          <t>Explain psychological confirmation bias where students remember confident answers while overlooking subtle reading traps and calculation slips.</t>
        </is>
      </c>
      <c r="L225" s="4" t="inlineStr">
        <is>
          <t>YES</t>
        </is>
      </c>
      <c r="M225" s="4" t="inlineStr">
        <is>
          <t>LOW</t>
        </is>
      </c>
      <c r="N225" s="4" t="inlineStr">
        <is>
          <t>READY</t>
        </is>
      </c>
      <c r="O225" s="5" t="inlineStr"/>
      <c r="P225" s="5" t="inlineStr"/>
      <c r="Q225" s="5" t="inlineStr"/>
      <c r="R225" s="5" t="inlineStr"/>
    </row>
    <row r="226" ht="20" customHeight="1">
      <c r="A226" s="2" t="inlineStr">
        <is>
          <t>ST225</t>
        </is>
      </c>
      <c r="B226" s="3" t="inlineStr">
        <is>
          <t>How to Calculate Your Expected Marks When Options Are Shuffled Across Papers</t>
        </is>
      </c>
      <c r="C226" s="2" t="inlineStr">
        <is>
          <t>JEE</t>
        </is>
      </c>
      <c r="D226" s="3" t="inlineStr">
        <is>
          <t>Marks Calculator</t>
        </is>
      </c>
      <c r="E226" s="2" t="inlineStr">
        <is>
          <t>Guide</t>
        </is>
      </c>
      <c r="F226" s="2" t="inlineStr">
        <is>
          <t>How-To</t>
        </is>
      </c>
      <c r="G226" s="3" t="inlineStr">
        <is>
          <t>shuffled options in jee response sheet</t>
        </is>
      </c>
      <c r="H226" s="3" t="inlineStr">
        <is>
          <t>question id vs option id nta, matching response sheet with master question paper, answer key mapping</t>
        </is>
      </c>
      <c r="I226" s="3" t="inlineStr">
        <is>
          <t>JEE Marks Calculator</t>
        </is>
      </c>
      <c r="J226" s="3" t="inlineStr">
        <is>
          <t>/jee/marks-calculator</t>
        </is>
      </c>
      <c r="K226" s="3" t="inlineStr">
        <is>
          <t>Explain how NTA uses unique Question IDs and Option IDs rather than simple ABCD letters, showing how to map them without errors.</t>
        </is>
      </c>
      <c r="L226" s="2" t="inlineStr">
        <is>
          <t>YES</t>
        </is>
      </c>
      <c r="M226" s="2" t="inlineStr">
        <is>
          <t>HIGH</t>
        </is>
      </c>
      <c r="N226" s="2" t="inlineStr">
        <is>
          <t>READY</t>
        </is>
      </c>
      <c r="O226" s="3" t="inlineStr"/>
      <c r="P226" s="3" t="inlineStr"/>
      <c r="Q226" s="3" t="inlineStr"/>
      <c r="R226" s="3" t="inlineStr"/>
    </row>
    <row r="227" ht="20" customHeight="1">
      <c r="A227" s="4" t="inlineStr">
        <is>
          <t>ST226</t>
        </is>
      </c>
      <c r="B227" s="5" t="inlineStr">
        <is>
          <t>What Is a Good Accuracy Percentage in JEE Main to Guarantee a 99 Percentile?</t>
        </is>
      </c>
      <c r="C227" s="4" t="inlineStr">
        <is>
          <t>JEE</t>
        </is>
      </c>
      <c r="D227" s="5" t="inlineStr">
        <is>
          <t>Marks Calculator</t>
        </is>
      </c>
      <c r="E227" s="4" t="inlineStr">
        <is>
          <t>Guide</t>
        </is>
      </c>
      <c r="F227" s="4" t="inlineStr">
        <is>
          <t>Educational</t>
        </is>
      </c>
      <c r="G227" s="5" t="inlineStr">
        <is>
          <t>good accuracy percentage for 99 percentile jee</t>
        </is>
      </c>
      <c r="H227" s="5" t="inlineStr">
        <is>
          <t>target accuracy for top rank, accuracy rate of toppers, how many wrong questions acceptable</t>
        </is>
      </c>
      <c r="I227" s="5" t="inlineStr">
        <is>
          <t>JEE Marks Calculator</t>
        </is>
      </c>
      <c r="J227" s="5" t="inlineStr">
        <is>
          <t>/jee/marks-calculator</t>
        </is>
      </c>
      <c r="K227" s="5" t="inlineStr">
        <is>
          <t>Demonstrate that toppers maintain 88% to 94% accuracy, typically attempting 60-68 questions with fewer than 5-7 errors overall.</t>
        </is>
      </c>
      <c r="L227" s="4" t="inlineStr">
        <is>
          <t>YES</t>
        </is>
      </c>
      <c r="M227" s="4" t="inlineStr">
        <is>
          <t>HIGH</t>
        </is>
      </c>
      <c r="N227" s="4" t="inlineStr">
        <is>
          <t>READY</t>
        </is>
      </c>
      <c r="O227" s="5" t="inlineStr"/>
      <c r="P227" s="5" t="inlineStr"/>
      <c r="Q227" s="5" t="inlineStr"/>
      <c r="R227" s="5" t="inlineStr"/>
    </row>
    <row r="228" ht="20" customHeight="1">
      <c r="A228" s="2" t="inlineStr">
        <is>
          <t>ST227</t>
        </is>
      </c>
      <c r="B228" s="3" t="inlineStr">
        <is>
          <t>Analyzing Negative Marks in Physics: Units and Dimensions Traps</t>
        </is>
      </c>
      <c r="C228" s="2" t="inlineStr">
        <is>
          <t>JEE</t>
        </is>
      </c>
      <c r="D228" s="3" t="inlineStr">
        <is>
          <t>Marks Calculator</t>
        </is>
      </c>
      <c r="E228" s="2" t="inlineStr">
        <is>
          <t>Guide</t>
        </is>
      </c>
      <c r="F228" s="2" t="inlineStr">
        <is>
          <t>Educational</t>
        </is>
      </c>
      <c r="G228" s="3" t="inlineStr">
        <is>
          <t>common traps in jee physics questions</t>
        </is>
      </c>
      <c r="H228" s="3" t="inlineStr">
        <is>
          <t>si unit conversion errors, sign conventions electrostatics, avoiding negative marks physics</t>
        </is>
      </c>
      <c r="I228" s="3" t="inlineStr">
        <is>
          <t>JEE Marks Calculator</t>
        </is>
      </c>
      <c r="J228" s="3" t="inlineStr">
        <is>
          <t>/jee/marks-calculator</t>
        </is>
      </c>
      <c r="K228" s="3" t="inlineStr">
        <is>
          <t>Highlight recurring question traps: cm vs m, grams vs kg, degree vs radian, and sign conventions in optics and mechanics.</t>
        </is>
      </c>
      <c r="L228" s="2" t="inlineStr">
        <is>
          <t>YES</t>
        </is>
      </c>
      <c r="M228" s="2" t="inlineStr">
        <is>
          <t>MEDIUM</t>
        </is>
      </c>
      <c r="N228" s="2" t="inlineStr">
        <is>
          <t>READY</t>
        </is>
      </c>
      <c r="O228" s="3" t="inlineStr"/>
      <c r="P228" s="3" t="inlineStr"/>
      <c r="Q228" s="3" t="inlineStr"/>
      <c r="R228" s="3" t="inlineStr"/>
    </row>
    <row r="229" ht="20" customHeight="1">
      <c r="A229" s="4" t="inlineStr">
        <is>
          <t>ST228</t>
        </is>
      </c>
      <c r="B229" s="5" t="inlineStr">
        <is>
          <t>How Chemistry Sign Conventions in Thermodynamics Cause Avoidable Penalties</t>
        </is>
      </c>
      <c r="C229" s="4" t="inlineStr">
        <is>
          <t>JEE</t>
        </is>
      </c>
      <c r="D229" s="5" t="inlineStr">
        <is>
          <t>Marks Calculator</t>
        </is>
      </c>
      <c r="E229" s="4" t="inlineStr">
        <is>
          <t>Guide</t>
        </is>
      </c>
      <c r="F229" s="4" t="inlineStr">
        <is>
          <t>Educational</t>
        </is>
      </c>
      <c r="G229" s="5" t="inlineStr">
        <is>
          <t>thermodynamics sign convention jee chemistry</t>
        </is>
      </c>
      <c r="H229" s="5" t="inlineStr">
        <is>
          <t>work done by system vs on system, physics vs chemistry thermodynamics signs, negative marks chemistry</t>
        </is>
      </c>
      <c r="I229" s="5" t="inlineStr">
        <is>
          <t>JEE Marks Calculator</t>
        </is>
      </c>
      <c r="J229" s="5" t="inlineStr">
        <is>
          <t>/jee/marks-calculator</t>
        </is>
      </c>
      <c r="K229" s="5" t="inlineStr">
        <is>
          <t>Highlight the frequent point of confusion between Chemistry (IUPAC work conventions) and Physics sign conventions.</t>
        </is>
      </c>
      <c r="L229" s="4" t="inlineStr">
        <is>
          <t>YES</t>
        </is>
      </c>
      <c r="M229" s="4" t="inlineStr">
        <is>
          <t>MEDIUM</t>
        </is>
      </c>
      <c r="N229" s="4" t="inlineStr">
        <is>
          <t>READY</t>
        </is>
      </c>
      <c r="O229" s="5" t="inlineStr"/>
      <c r="P229" s="5" t="inlineStr"/>
      <c r="Q229" s="5" t="inlineStr"/>
      <c r="R229" s="5" t="inlineStr"/>
    </row>
    <row r="230" ht="20" customHeight="1">
      <c r="A230" s="2" t="inlineStr">
        <is>
          <t>ST229</t>
        </is>
      </c>
      <c r="B230" s="3" t="inlineStr">
        <is>
          <t>How to Recalculate Your Score After Final Answer Key Revisions</t>
        </is>
      </c>
      <c r="C230" s="2" t="inlineStr">
        <is>
          <t>JEE</t>
        </is>
      </c>
      <c r="D230" s="3" t="inlineStr">
        <is>
          <t>Marks Calculator</t>
        </is>
      </c>
      <c r="E230" s="2" t="inlineStr">
        <is>
          <t>How-To</t>
        </is>
      </c>
      <c r="F230" s="2" t="inlineStr">
        <is>
          <t>How-To</t>
        </is>
      </c>
      <c r="G230" s="3" t="inlineStr">
        <is>
          <t>recalculating marks after final answer key jee</t>
        </is>
      </c>
      <c r="H230" s="3" t="inlineStr">
        <is>
          <t>revised final answer key nta, score change after challenge, final marks before rank</t>
        </is>
      </c>
      <c r="I230" s="3" t="inlineStr">
        <is>
          <t>JEE Marks Calculator</t>
        </is>
      </c>
      <c r="J230" s="3" t="inlineStr">
        <is>
          <t>/jee/marks-calculator</t>
        </is>
      </c>
      <c r="K230" s="3" t="inlineStr">
        <is>
          <t>Walk through adjusting score calculations when NTA accepts challenges, drops questions, or modifies correct options in the final answer key.</t>
        </is>
      </c>
      <c r="L230" s="2" t="inlineStr">
        <is>
          <t>YES</t>
        </is>
      </c>
      <c r="M230" s="2" t="inlineStr">
        <is>
          <t>HIGH</t>
        </is>
      </c>
      <c r="N230" s="2" t="inlineStr">
        <is>
          <t>READY</t>
        </is>
      </c>
      <c r="O230" s="3" t="inlineStr"/>
      <c r="P230" s="3" t="inlineStr"/>
      <c r="Q230" s="3" t="inlineStr"/>
      <c r="R230" s="3" t="inlineStr"/>
    </row>
    <row r="231" ht="20" customHeight="1">
      <c r="A231" s="4" t="inlineStr">
        <is>
          <t>ST230</t>
        </is>
      </c>
      <c r="B231" s="5" t="inlineStr">
        <is>
          <t>The Math of Risk-Taking: When Does Guessing Yield Positive Net Returns in JEE?</t>
        </is>
      </c>
      <c r="C231" s="4" t="inlineStr">
        <is>
          <t>JEE</t>
        </is>
      </c>
      <c r="D231" s="5" t="inlineStr">
        <is>
          <t>Marks Calculator</t>
        </is>
      </c>
      <c r="E231" s="4" t="inlineStr">
        <is>
          <t>Formula Guide</t>
        </is>
      </c>
      <c r="F231" s="4" t="inlineStr">
        <is>
          <t>Educational</t>
        </is>
      </c>
      <c r="G231" s="5" t="inlineStr">
        <is>
          <t>mathematics of guessing in competitive exams</t>
        </is>
      </c>
      <c r="H231" s="5" t="inlineStr">
        <is>
          <t>expected value formula guessing, probability of multiple choice questions, blind vs informed guessing</t>
        </is>
      </c>
      <c r="I231" s="5" t="inlineStr">
        <is>
          <t>JEE Marks Calculator</t>
        </is>
      </c>
      <c r="J231" s="5" t="inlineStr">
        <is>
          <t>/jee/marks-calculator</t>
        </is>
      </c>
      <c r="K231" s="5" t="inlineStr">
        <is>
          <t>Rigorous mathematical analysis of expected value E = P(correct) * 4 - P(wrong) * 1. Show when expected value is positive.</t>
        </is>
      </c>
      <c r="L231" s="4" t="inlineStr">
        <is>
          <t>YES</t>
        </is>
      </c>
      <c r="M231" s="4" t="inlineStr">
        <is>
          <t>HIGH</t>
        </is>
      </c>
      <c r="N231" s="4" t="inlineStr">
        <is>
          <t>READY</t>
        </is>
      </c>
      <c r="O231" s="5" t="inlineStr"/>
      <c r="P231" s="5" t="inlineStr"/>
      <c r="Q231" s="5" t="inlineStr"/>
      <c r="R231" s="5" t="inlineStr"/>
    </row>
    <row r="232" ht="20" customHeight="1">
      <c r="A232" s="2" t="inlineStr">
        <is>
          <t>ST231</t>
        </is>
      </c>
      <c r="B232" s="3" t="inlineStr">
        <is>
          <t>How to Audit Your Answer Sheet for OMR/Click Registration Errors</t>
        </is>
      </c>
      <c r="C232" s="2" t="inlineStr">
        <is>
          <t>JEE</t>
        </is>
      </c>
      <c r="D232" s="3" t="inlineStr">
        <is>
          <t>Marks Calculator</t>
        </is>
      </c>
      <c r="E232" s="2" t="inlineStr">
        <is>
          <t>Guide</t>
        </is>
      </c>
      <c r="F232" s="2" t="inlineStr">
        <is>
          <t>How-To</t>
        </is>
      </c>
      <c r="G232" s="3" t="inlineStr">
        <is>
          <t>verifying recorded response in nta response sheet</t>
        </is>
      </c>
      <c r="H232" s="3" t="inlineStr">
        <is>
          <t>cbt click saving errors, save and next button verification, marked for review scoring</t>
        </is>
      </c>
      <c r="I232" s="3" t="inlineStr">
        <is>
          <t>JEE Marks Calculator</t>
        </is>
      </c>
      <c r="J232" s="3" t="inlineStr">
        <is>
          <t>/jee/marks-calculator</t>
        </is>
      </c>
      <c r="K232" s="3" t="inlineStr">
        <is>
          <t>Explain how NTA captures recorded responses, confirming that 'Save &amp; Next' ensures answers are logged for evaluation.</t>
        </is>
      </c>
      <c r="L232" s="2" t="inlineStr">
        <is>
          <t>YES</t>
        </is>
      </c>
      <c r="M232" s="2" t="inlineStr">
        <is>
          <t>MEDIUM</t>
        </is>
      </c>
      <c r="N232" s="2" t="inlineStr">
        <is>
          <t>READY</t>
        </is>
      </c>
      <c r="O232" s="3" t="inlineStr"/>
      <c r="P232" s="3" t="inlineStr"/>
      <c r="Q232" s="3" t="inlineStr"/>
      <c r="R232" s="3" t="inlineStr"/>
    </row>
    <row r="233" ht="20" customHeight="1">
      <c r="A233" s="4" t="inlineStr">
        <is>
          <t>ST232</t>
        </is>
      </c>
      <c r="B233" s="5" t="inlineStr">
        <is>
          <t>Comparing Raw Marks Calculation in JEE Main vs NEET Examination</t>
        </is>
      </c>
      <c r="C233" s="4" t="inlineStr">
        <is>
          <t>JEE</t>
        </is>
      </c>
      <c r="D233" s="5" t="inlineStr">
        <is>
          <t>Marks Calculator</t>
        </is>
      </c>
      <c r="E233" s="4" t="inlineStr">
        <is>
          <t>Comparison</t>
        </is>
      </c>
      <c r="F233" s="4" t="inlineStr">
        <is>
          <t>Comparison</t>
        </is>
      </c>
      <c r="G233" s="5" t="inlineStr">
        <is>
          <t>jee main vs neet marking scheme comparison</t>
        </is>
      </c>
      <c r="H233" s="5" t="inlineStr">
        <is>
          <t>neet 720 marks vs jee 300 marks, negative marking comparison medical engineering, scoring difficulty</t>
        </is>
      </c>
      <c r="I233" s="5" t="inlineStr">
        <is>
          <t>JEE Marks Calculator</t>
        </is>
      </c>
      <c r="J233" s="5" t="inlineStr">
        <is>
          <t>/jee/marks-calculator</t>
        </is>
      </c>
      <c r="K233" s="5" t="inlineStr">
        <is>
          <t>Compare maximum marks (300 vs 720), question volume, time per question (2.4 min vs 1 min), and accuracy benchmarks.</t>
        </is>
      </c>
      <c r="L233" s="4" t="inlineStr">
        <is>
          <t>YES</t>
        </is>
      </c>
      <c r="M233" s="4" t="inlineStr">
        <is>
          <t>LOW</t>
        </is>
      </c>
      <c r="N233" s="4" t="inlineStr">
        <is>
          <t>READY</t>
        </is>
      </c>
      <c r="O233" s="5" t="inlineStr"/>
      <c r="P233" s="5" t="inlineStr"/>
      <c r="Q233" s="5" t="inlineStr"/>
      <c r="R233" s="5" t="inlineStr"/>
    </row>
    <row r="234" ht="20" customHeight="1">
      <c r="A234" s="2" t="inlineStr">
        <is>
          <t>ST233</t>
        </is>
      </c>
      <c r="B234" s="3" t="inlineStr">
        <is>
          <t>How Many Marks Can You Gain by Eliminating Calculation Slip Errors Alone?</t>
        </is>
      </c>
      <c r="C234" s="2" t="inlineStr">
        <is>
          <t>JEE</t>
        </is>
      </c>
      <c r="D234" s="3" t="inlineStr">
        <is>
          <t>Marks Calculator</t>
        </is>
      </c>
      <c r="E234" s="2" t="inlineStr">
        <is>
          <t>Explanation</t>
        </is>
      </c>
      <c r="F234" s="2" t="inlineStr">
        <is>
          <t>Educational</t>
        </is>
      </c>
      <c r="G234" s="3" t="inlineStr">
        <is>
          <t>how to eliminate calculation mistakes in jee</t>
        </is>
      </c>
      <c r="H234" s="3" t="inlineStr">
        <is>
          <t>rough sheet organization, margin calculation method, gaining 20 marks in jee</t>
        </is>
      </c>
      <c r="I234" s="3" t="inlineStr">
        <is>
          <t>JEE Marks Calculator</t>
        </is>
      </c>
      <c r="J234" s="3" t="inlineStr">
        <is>
          <t>/jee/marks-calculator</t>
        </is>
      </c>
      <c r="K234" s="3" t="inlineStr">
        <is>
          <t>Demonstrate that clean, numbered rough work prevents 3-5 calculation slips, immediately yielding a net 15-25 mark improvement.</t>
        </is>
      </c>
      <c r="L234" s="2" t="inlineStr">
        <is>
          <t>YES</t>
        </is>
      </c>
      <c r="M234" s="2" t="inlineStr">
        <is>
          <t>HIGH</t>
        </is>
      </c>
      <c r="N234" s="2" t="inlineStr">
        <is>
          <t>READY</t>
        </is>
      </c>
      <c r="O234" s="3" t="inlineStr"/>
      <c r="P234" s="3" t="inlineStr"/>
      <c r="Q234" s="3" t="inlineStr"/>
      <c r="R234" s="3" t="inlineStr"/>
    </row>
    <row r="235" ht="20" customHeight="1">
      <c r="A235" s="4" t="inlineStr">
        <is>
          <t>ST234</t>
        </is>
      </c>
      <c r="B235" s="5" t="inlineStr">
        <is>
          <t>Evaluating Question Difficulty Level in Mock Tests: Easy, Moderate, Tough Tally</t>
        </is>
      </c>
      <c r="C235" s="4" t="inlineStr">
        <is>
          <t>JEE</t>
        </is>
      </c>
      <c r="D235" s="5" t="inlineStr">
        <is>
          <t>Marks Calculator</t>
        </is>
      </c>
      <c r="E235" s="4" t="inlineStr">
        <is>
          <t>How-To</t>
        </is>
      </c>
      <c r="F235" s="4" t="inlineStr">
        <is>
          <t>How-To</t>
        </is>
      </c>
      <c r="G235" s="5" t="inlineStr">
        <is>
          <t>categorizing questions by difficulty in test analysis</t>
        </is>
      </c>
      <c r="H235" s="5" t="inlineStr">
        <is>
          <t>post test difficulty matrix, easy question accuracy, identifying silly mistakes in easy questions</t>
        </is>
      </c>
      <c r="I235" s="5" t="inlineStr">
        <is>
          <t>JEE Marks Calculator</t>
        </is>
      </c>
      <c r="J235" s="5" t="inlineStr">
        <is>
          <t>/jee/marks-calculator</t>
        </is>
      </c>
      <c r="K235" s="5" t="inlineStr">
        <is>
          <t>Provide a spreadsheet template to classify all 75 questions by difficulty and audit whether any 'Easy' questions were missed.</t>
        </is>
      </c>
      <c r="L235" s="4" t="inlineStr">
        <is>
          <t>YES</t>
        </is>
      </c>
      <c r="M235" s="4" t="inlineStr">
        <is>
          <t>MEDIUM</t>
        </is>
      </c>
      <c r="N235" s="4" t="inlineStr">
        <is>
          <t>READY</t>
        </is>
      </c>
      <c r="O235" s="5" t="inlineStr"/>
      <c r="P235" s="5" t="inlineStr"/>
      <c r="Q235" s="5" t="inlineStr"/>
      <c r="R235" s="5" t="inlineStr"/>
    </row>
    <row r="236" ht="20" customHeight="1">
      <c r="A236" s="2" t="inlineStr">
        <is>
          <t>ST235</t>
        </is>
      </c>
      <c r="B236" s="3" t="inlineStr">
        <is>
          <t>Why Do Negative Marks Spike in the Last 20 Minutes of the Exam?</t>
        </is>
      </c>
      <c r="C236" s="2" t="inlineStr">
        <is>
          <t>JEE</t>
        </is>
      </c>
      <c r="D236" s="3" t="inlineStr">
        <is>
          <t>Marks Calculator</t>
        </is>
      </c>
      <c r="E236" s="2" t="inlineStr">
        <is>
          <t>Explanation</t>
        </is>
      </c>
      <c r="F236" s="2" t="inlineStr">
        <is>
          <t>Informational</t>
        </is>
      </c>
      <c r="G236" s="3" t="inlineStr">
        <is>
          <t>panic guessing last 20 minutes jee</t>
        </is>
      </c>
      <c r="H236" s="3" t="inlineStr">
        <is>
          <t>time pressure errors exam, avoiding desperate attempts, maintaining discipline under clock</t>
        </is>
      </c>
      <c r="I236" s="3" t="inlineStr">
        <is>
          <t>JEE Marks Calculator</t>
        </is>
      </c>
      <c r="J236" s="3" t="inlineStr">
        <is>
          <t>/jee/marks-calculator</t>
        </is>
      </c>
      <c r="K236" s="3" t="inlineStr">
        <is>
          <t>Analyze the psychology of panic when the countdown timer turns red, prompting desperate unverified guesses that erode hard-earned marks.</t>
        </is>
      </c>
      <c r="L236" s="2" t="inlineStr">
        <is>
          <t>YES</t>
        </is>
      </c>
      <c r="M236" s="2" t="inlineStr">
        <is>
          <t>MEDIUM</t>
        </is>
      </c>
      <c r="N236" s="2" t="inlineStr">
        <is>
          <t>READY</t>
        </is>
      </c>
      <c r="O236" s="3" t="inlineStr"/>
      <c r="P236" s="3" t="inlineStr"/>
      <c r="Q236" s="3" t="inlineStr"/>
      <c r="R236" s="3" t="inlineStr"/>
    </row>
    <row r="237" ht="20" customHeight="1">
      <c r="A237" s="4" t="inlineStr">
        <is>
          <t>ST236</t>
        </is>
      </c>
      <c r="B237" s="5" t="inlineStr">
        <is>
          <t>How to Set Up a Target Marks Scorecard for JEE Main Session 2</t>
        </is>
      </c>
      <c r="C237" s="4" t="inlineStr">
        <is>
          <t>JEE</t>
        </is>
      </c>
      <c r="D237" s="5" t="inlineStr">
        <is>
          <t>Marks Calculator</t>
        </is>
      </c>
      <c r="E237" s="4" t="inlineStr">
        <is>
          <t>Planning Guide</t>
        </is>
      </c>
      <c r="F237" s="4" t="inlineStr">
        <is>
          <t>Planning</t>
        </is>
      </c>
      <c r="G237" s="5" t="inlineStr">
        <is>
          <t>setting target score for jee session 2</t>
        </is>
      </c>
      <c r="H237" s="5" t="inlineStr">
        <is>
          <t>session 2 marks goal, realistic score improvement, target scorecard template</t>
        </is>
      </c>
      <c r="I237" s="5" t="inlineStr">
        <is>
          <t>JEE Marks Calculator</t>
        </is>
      </c>
      <c r="J237" s="5" t="inlineStr">
        <is>
          <t>/jee/marks-calculator</t>
        </is>
      </c>
      <c r="K237" s="5" t="inlineStr">
        <is>
          <t>Break down target score into subject-level milestones (e.g. Chemistry 75, Physics 70, Math 45 = 190 total marks).</t>
        </is>
      </c>
      <c r="L237" s="4" t="inlineStr">
        <is>
          <t>YES</t>
        </is>
      </c>
      <c r="M237" s="4" t="inlineStr">
        <is>
          <t>HIGH</t>
        </is>
      </c>
      <c r="N237" s="4" t="inlineStr">
        <is>
          <t>READY</t>
        </is>
      </c>
      <c r="O237" s="5" t="inlineStr"/>
      <c r="P237" s="5" t="inlineStr"/>
      <c r="Q237" s="5" t="inlineStr"/>
      <c r="R237" s="5" t="inlineStr"/>
    </row>
    <row r="238" ht="20" customHeight="1">
      <c r="A238" s="2" t="inlineStr">
        <is>
          <t>ST237</t>
        </is>
      </c>
      <c r="B238" s="3" t="inlineStr">
        <is>
          <t>Understanding the Impact of Equal Scores on Rank Distribution</t>
        </is>
      </c>
      <c r="C238" s="2" t="inlineStr">
        <is>
          <t>JEE</t>
        </is>
      </c>
      <c r="D238" s="3" t="inlineStr">
        <is>
          <t>Marks Calculator</t>
        </is>
      </c>
      <c r="E238" s="2" t="inlineStr">
        <is>
          <t>Explanation</t>
        </is>
      </c>
      <c r="F238" s="2" t="inlineStr">
        <is>
          <t>Reference</t>
        </is>
      </c>
      <c r="G238" s="3" t="inlineStr">
        <is>
          <t>marks density around average scores jee</t>
        </is>
      </c>
      <c r="H238" s="3" t="inlineStr">
        <is>
          <t>score congestion 120 marks, how many students on same marks, rank variance per mark</t>
        </is>
      </c>
      <c r="I238" s="3" t="inlineStr">
        <is>
          <t>JEE Marks Calculator</t>
        </is>
      </c>
      <c r="J238" s="3" t="inlineStr">
        <is>
          <t>/jee/marks-calculator</t>
        </is>
      </c>
      <c r="K238" s="3" t="inlineStr">
        <is>
          <t>Show how score density peaks between 100 and 130 marks, where a single 1-mark swing can alter ranking by 3,000 to 5,000 positions.</t>
        </is>
      </c>
      <c r="L238" s="2" t="inlineStr">
        <is>
          <t>YES</t>
        </is>
      </c>
      <c r="M238" s="2" t="inlineStr">
        <is>
          <t>HIGH</t>
        </is>
      </c>
      <c r="N238" s="2" t="inlineStr">
        <is>
          <t>READY</t>
        </is>
      </c>
      <c r="O238" s="3" t="inlineStr"/>
      <c r="P238" s="3" t="inlineStr"/>
      <c r="Q238" s="3" t="inlineStr"/>
      <c r="R238" s="3" t="inlineStr"/>
    </row>
    <row r="239" ht="20" customHeight="1">
      <c r="A239" s="4" t="inlineStr">
        <is>
          <t>ST238</t>
        </is>
      </c>
      <c r="B239" s="5" t="inlineStr">
        <is>
          <t>How to Use Past Years' Answer Keys to Practice Scoring Drill Sessions</t>
        </is>
      </c>
      <c r="C239" s="4" t="inlineStr">
        <is>
          <t>JEE</t>
        </is>
      </c>
      <c r="D239" s="5" t="inlineStr">
        <is>
          <t>Marks Calculator</t>
        </is>
      </c>
      <c r="E239" s="4" t="inlineStr">
        <is>
          <t>How-To</t>
        </is>
      </c>
      <c r="F239" s="4" t="inlineStr">
        <is>
          <t>How-To</t>
        </is>
      </c>
      <c r="G239" s="5" t="inlineStr">
        <is>
          <t>practicing with official nta pyqs and answer keys</t>
        </is>
      </c>
      <c r="H239" s="5" t="inlineStr">
        <is>
          <t>pyq paper solving scoring, timing past papers, authentic score evaluation</t>
        </is>
      </c>
      <c r="I239" s="5" t="inlineStr">
        <is>
          <t>JEE Marks Calculator</t>
        </is>
      </c>
      <c r="J239" s="5" t="inlineStr">
        <is>
          <t>/jee/marks-calculator</t>
        </is>
      </c>
      <c r="K239" s="5" t="inlineStr">
        <is>
          <t>Explain how to take past papers as timed tests and use authentic NTA keys to calculate reliable baseline scores.</t>
        </is>
      </c>
      <c r="L239" s="4" t="inlineStr">
        <is>
          <t>YES</t>
        </is>
      </c>
      <c r="M239" s="4" t="inlineStr">
        <is>
          <t>MEDIUM</t>
        </is>
      </c>
      <c r="N239" s="4" t="inlineStr">
        <is>
          <t>READY</t>
        </is>
      </c>
      <c r="O239" s="5" t="inlineStr"/>
      <c r="P239" s="5" t="inlineStr"/>
      <c r="Q239" s="5" t="inlineStr"/>
      <c r="R239" s="5" t="inlineStr"/>
    </row>
    <row r="240" ht="20" customHeight="1">
      <c r="A240" s="2" t="inlineStr">
        <is>
          <t>ST239</t>
        </is>
      </c>
      <c r="B240" s="3" t="inlineStr">
        <is>
          <t>The Psychological Benefit of Knowing Your Exact Raw Score Quickly</t>
        </is>
      </c>
      <c r="C240" s="2" t="inlineStr">
        <is>
          <t>JEE</t>
        </is>
      </c>
      <c r="D240" s="3" t="inlineStr">
        <is>
          <t>Marks Calculator</t>
        </is>
      </c>
      <c r="E240" s="2" t="inlineStr">
        <is>
          <t>Explanation</t>
        </is>
      </c>
      <c r="F240" s="2" t="inlineStr">
        <is>
          <t>Informational</t>
        </is>
      </c>
      <c r="G240" s="3" t="inlineStr">
        <is>
          <t>benefits of early marks calculation after jee</t>
        </is>
      </c>
      <c r="H240" s="3" t="inlineStr">
        <is>
          <t>planning after exam key release, reducing result anxiety, early counselling preparation</t>
        </is>
      </c>
      <c r="I240" s="3" t="inlineStr">
        <is>
          <t>JEE Marks Calculator</t>
        </is>
      </c>
      <c r="J240" s="3" t="inlineStr">
        <is>
          <t>/jee/marks-calculator</t>
        </is>
      </c>
      <c r="K240" s="3" t="inlineStr">
        <is>
          <t>Explain how immediate, accurate score tallying grounds expectations, reduces anxiety, and enables quick decision-making for JEE Advanced or Session 2.</t>
        </is>
      </c>
      <c r="L240" s="2" t="inlineStr">
        <is>
          <t>YES</t>
        </is>
      </c>
      <c r="M240" s="2" t="inlineStr">
        <is>
          <t>LOW</t>
        </is>
      </c>
      <c r="N240" s="2" t="inlineStr">
        <is>
          <t>READY</t>
        </is>
      </c>
      <c r="O240" s="3" t="inlineStr"/>
      <c r="P240" s="3" t="inlineStr"/>
      <c r="Q240" s="3" t="inlineStr"/>
      <c r="R240" s="3" t="inlineStr"/>
    </row>
    <row r="241" ht="20" customHeight="1">
      <c r="A241" s="4" t="inlineStr">
        <is>
          <t>ST240</t>
        </is>
      </c>
      <c r="B241" s="5" t="inlineStr">
        <is>
          <t>Summary Guide: Essential Formulas for JEE Main Marks, Accuracy, and Negative Penalties</t>
        </is>
      </c>
      <c r="C241" s="4" t="inlineStr">
        <is>
          <t>JEE</t>
        </is>
      </c>
      <c r="D241" s="5" t="inlineStr">
        <is>
          <t>Marks Calculator</t>
        </is>
      </c>
      <c r="E241" s="4" t="inlineStr">
        <is>
          <t>Formula Guide</t>
        </is>
      </c>
      <c r="F241" s="4" t="inlineStr">
        <is>
          <t>Reference</t>
        </is>
      </c>
      <c r="G241" s="5" t="inlineStr">
        <is>
          <t>jee scoring formulas summary</t>
        </is>
      </c>
      <c r="H241" s="5" t="inlineStr">
        <is>
          <t>all scoring formulas competitive exams, net marks formula, accuracy rate calculation</t>
        </is>
      </c>
      <c r="I241" s="5" t="inlineStr">
        <is>
          <t>JEE Marks Calculator</t>
        </is>
      </c>
      <c r="J241" s="5" t="inlineStr">
        <is>
          <t>/jee/marks-calculator</t>
        </is>
      </c>
      <c r="K241" s="5" t="inlineStr">
        <is>
          <t>Consolidated reference table of all core scoring formulas: Raw Score, Accuracy Rate, Error Rate, Expected Value, and Opportunity Cost.</t>
        </is>
      </c>
      <c r="L241" s="4" t="inlineStr">
        <is>
          <t>YES</t>
        </is>
      </c>
      <c r="M241" s="4" t="inlineStr">
        <is>
          <t>HIGH</t>
        </is>
      </c>
      <c r="N241" s="4" t="inlineStr">
        <is>
          <t>READY</t>
        </is>
      </c>
      <c r="O241" s="5" t="inlineStr"/>
      <c r="P241" s="5" t="inlineStr"/>
      <c r="Q241" s="5" t="inlineStr"/>
      <c r="R241" s="5" t="inlineStr"/>
    </row>
    <row r="242" ht="20" customHeight="1">
      <c r="A242" s="2" t="inlineStr">
        <is>
          <t>ST241</t>
        </is>
      </c>
      <c r="B242" s="3" t="inlineStr">
        <is>
          <t>How to Calculate Attendance Percentage: Formula and Practical Examples</t>
        </is>
      </c>
      <c r="C242" s="2" t="inlineStr">
        <is>
          <t>Student</t>
        </is>
      </c>
      <c r="D242" s="3" t="inlineStr">
        <is>
          <t>Attendance</t>
        </is>
      </c>
      <c r="E242" s="2" t="inlineStr">
        <is>
          <t>Formula Guide</t>
        </is>
      </c>
      <c r="F242" s="2" t="inlineStr">
        <is>
          <t>How-To</t>
        </is>
      </c>
      <c r="G242" s="3" t="inlineStr">
        <is>
          <t>how to calculate attendance percentage</t>
        </is>
      </c>
      <c r="H242" s="3" t="inlineStr">
        <is>
          <t>attendance percentage formula, calculating attendance percentage college, attendance calculation formula</t>
        </is>
      </c>
      <c r="I242" s="3" t="inlineStr">
        <is>
          <t>Attendance Calculator</t>
        </is>
      </c>
      <c r="J242" s="3" t="inlineStr">
        <is>
          <t>/student/attendance-calculator</t>
        </is>
      </c>
      <c r="K242" s="3" t="inlineStr">
        <is>
          <t>Define the fundamental formula: Attendance % = (Classes Attended / Total Classes Conducted) * 100. Provide worked examples across 60, 100, and 150 lectures, and link to the Attendance Calculator.</t>
        </is>
      </c>
      <c r="L242" s="2" t="inlineStr">
        <is>
          <t>YES</t>
        </is>
      </c>
      <c r="M242" s="2" t="inlineStr">
        <is>
          <t>HIGH</t>
        </is>
      </c>
      <c r="N242" s="2" t="inlineStr">
        <is>
          <t>READY</t>
        </is>
      </c>
      <c r="O242" s="3" t="inlineStr"/>
      <c r="P242" s="3" t="inlineStr"/>
      <c r="Q242" s="3" t="inlineStr"/>
      <c r="R242" s="3" t="inlineStr"/>
    </row>
    <row r="243" ht="20" customHeight="1">
      <c r="A243" s="4" t="inlineStr">
        <is>
          <t>ST242</t>
        </is>
      </c>
      <c r="B243" s="5" t="inlineStr">
        <is>
          <t>How Many Classes Can I Miss and Still Maintain 75% Attendance?</t>
        </is>
      </c>
      <c r="C243" s="4" t="inlineStr">
        <is>
          <t>Student</t>
        </is>
      </c>
      <c r="D243" s="5" t="inlineStr">
        <is>
          <t>Attendance</t>
        </is>
      </c>
      <c r="E243" s="4" t="inlineStr">
        <is>
          <t>Guide</t>
        </is>
      </c>
      <c r="F243" s="4" t="inlineStr">
        <is>
          <t>Planning</t>
        </is>
      </c>
      <c r="G243" s="5" t="inlineStr">
        <is>
          <t>how many classes can i miss for 75 attendance</t>
        </is>
      </c>
      <c r="H243" s="5" t="inlineStr">
        <is>
          <t>bunk calculator 75 percent, safe bunk limit college, 75 attendance rule classes to skip</t>
        </is>
      </c>
      <c r="I243" s="5" t="inlineStr">
        <is>
          <t>Attendance Calculator</t>
        </is>
      </c>
      <c r="J243" s="5" t="inlineStr">
        <is>
          <t>/student/attendance-calculator</t>
        </is>
      </c>
      <c r="K243" s="5" t="inlineStr">
        <is>
          <t>Derive the safe bunk equation: Bunks Allowed = floor(Attended / 0.75 - Total). Work through practical semester scenarios for students with 40/45 or 85/90 attendance.</t>
        </is>
      </c>
      <c r="L243" s="4" t="inlineStr">
        <is>
          <t>YES</t>
        </is>
      </c>
      <c r="M243" s="4" t="inlineStr">
        <is>
          <t>HIGH</t>
        </is>
      </c>
      <c r="N243" s="4" t="inlineStr">
        <is>
          <t>READY</t>
        </is>
      </c>
      <c r="O243" s="5" t="inlineStr"/>
      <c r="P243" s="5" t="inlineStr"/>
      <c r="Q243" s="5" t="inlineStr"/>
      <c r="R243" s="5" t="inlineStr"/>
    </row>
    <row r="244" ht="20" customHeight="1">
      <c r="A244" s="2" t="inlineStr">
        <is>
          <t>ST243</t>
        </is>
      </c>
      <c r="B244" s="3" t="inlineStr">
        <is>
          <t>How Many Classes Do I Need to Attend to Reach 75% Attendance from 60%?</t>
        </is>
      </c>
      <c r="C244" s="2" t="inlineStr">
        <is>
          <t>Student</t>
        </is>
      </c>
      <c r="D244" s="3" t="inlineStr">
        <is>
          <t>Attendance</t>
        </is>
      </c>
      <c r="E244" s="2" t="inlineStr">
        <is>
          <t>How-To</t>
        </is>
      </c>
      <c r="F244" s="2" t="inlineStr">
        <is>
          <t>Planning</t>
        </is>
      </c>
      <c r="G244" s="3" t="inlineStr">
        <is>
          <t>how many classes to attend to reach 75 percent attendance</t>
        </is>
      </c>
      <c r="H244" s="3" t="inlineStr">
        <is>
          <t>attendance shortage recovery, recovering from low attendance, classes needed for 75</t>
        </is>
      </c>
      <c r="I244" s="3" t="inlineStr">
        <is>
          <t>Attendance Calculator</t>
        </is>
      </c>
      <c r="J244" s="3" t="inlineStr">
        <is>
          <t>/student/attendance-calculator</t>
        </is>
      </c>
      <c r="K244" s="3" t="inlineStr">
        <is>
          <t>Solve the recovery formula: (Attended + x) / (Total + x) = 0.75 -&gt; x = 3 * Total - 4 * Attended. Show step-by-step mathematical derivation and worked case studies.</t>
        </is>
      </c>
      <c r="L244" s="2" t="inlineStr">
        <is>
          <t>YES</t>
        </is>
      </c>
      <c r="M244" s="2" t="inlineStr">
        <is>
          <t>HIGH</t>
        </is>
      </c>
      <c r="N244" s="2" t="inlineStr">
        <is>
          <t>READY</t>
        </is>
      </c>
      <c r="O244" s="3" t="inlineStr"/>
      <c r="P244" s="3" t="inlineStr"/>
      <c r="Q244" s="3" t="inlineStr"/>
      <c r="R244" s="3" t="inlineStr"/>
    </row>
    <row r="245" ht="20" customHeight="1">
      <c r="A245" s="4" t="inlineStr">
        <is>
          <t>ST244</t>
        </is>
      </c>
      <c r="B245" s="5" t="inlineStr">
        <is>
          <t>What Happens If Attendance Falls Below 75% in Indian Universities?</t>
        </is>
      </c>
      <c r="C245" s="4" t="inlineStr">
        <is>
          <t>Student</t>
        </is>
      </c>
      <c r="D245" s="5" t="inlineStr">
        <is>
          <t>Attendance</t>
        </is>
      </c>
      <c r="E245" s="4" t="inlineStr">
        <is>
          <t>Guide</t>
        </is>
      </c>
      <c r="F245" s="4" t="inlineStr">
        <is>
          <t>Educational</t>
        </is>
      </c>
      <c r="G245" s="5" t="inlineStr">
        <is>
          <t>what happens if attendance is below 75 in college</t>
        </is>
      </c>
      <c r="H245" s="5" t="inlineStr">
        <is>
          <t>75 attendance rule ugc, detained due to attendance, attendance shortage condonation</t>
        </is>
      </c>
      <c r="I245" s="5" t="inlineStr">
        <is>
          <t>Attendance Calculator</t>
        </is>
      </c>
      <c r="J245" s="5" t="inlineStr">
        <is>
          <t>/student/attendance-calculator</t>
        </is>
      </c>
      <c r="K245" s="5" t="inlineStr">
        <is>
          <t>Examine UGC norms, university detention policies, medical condonation limits (typically 65% to 75%), condonation fees, and exam hall ticket debarment.</t>
        </is>
      </c>
      <c r="L245" s="4" t="inlineStr">
        <is>
          <t>YES</t>
        </is>
      </c>
      <c r="M245" s="4" t="inlineStr">
        <is>
          <t>HIGH</t>
        </is>
      </c>
      <c r="N245" s="4" t="inlineStr">
        <is>
          <t>READY</t>
        </is>
      </c>
      <c r="O245" s="5" t="inlineStr"/>
      <c r="P245" s="5" t="inlineStr"/>
      <c r="Q245" s="5" t="inlineStr"/>
      <c r="R245" s="5" t="inlineStr"/>
    </row>
    <row r="246" ht="20" customHeight="1">
      <c r="A246" s="2" t="inlineStr">
        <is>
          <t>ST245</t>
        </is>
      </c>
      <c r="B246" s="3" t="inlineStr">
        <is>
          <t>How to Calculate Attendance When Multiple Classes or Labs Are Blocked Together</t>
        </is>
      </c>
      <c r="C246" s="2" t="inlineStr">
        <is>
          <t>Student</t>
        </is>
      </c>
      <c r="D246" s="3" t="inlineStr">
        <is>
          <t>Attendance</t>
        </is>
      </c>
      <c r="E246" s="2" t="inlineStr">
        <is>
          <t>Guide</t>
        </is>
      </c>
      <c r="F246" s="2" t="inlineStr">
        <is>
          <t>How-To</t>
        </is>
      </c>
      <c r="G246" s="3" t="inlineStr">
        <is>
          <t>how are lab hours counted in attendance percentage</t>
        </is>
      </c>
      <c r="H246" s="3" t="inlineStr">
        <is>
          <t>2 hour practical attendance count, block class attendance, lecture vs lab attendance weight</t>
        </is>
      </c>
      <c r="I246" s="3" t="inlineStr">
        <is>
          <t>Attendance Calculator</t>
        </is>
      </c>
      <c r="J246" s="3" t="inlineStr">
        <is>
          <t>/student/attendance-calculator</t>
        </is>
      </c>
      <c r="K246" s="3" t="inlineStr">
        <is>
          <t>Explain how universities weight 2-hour or 3-hour practical/lab sessions as multiple attendance slots, and how missing a single lab session impacts the percentage.</t>
        </is>
      </c>
      <c r="L246" s="2" t="inlineStr">
        <is>
          <t>YES</t>
        </is>
      </c>
      <c r="M246" s="2" t="inlineStr">
        <is>
          <t>HIGH</t>
        </is>
      </c>
      <c r="N246" s="2" t="inlineStr">
        <is>
          <t>READY</t>
        </is>
      </c>
      <c r="O246" s="3" t="inlineStr"/>
      <c r="P246" s="3" t="inlineStr"/>
      <c r="Q246" s="3" t="inlineStr"/>
      <c r="R246" s="3" t="inlineStr"/>
    </row>
    <row r="247" ht="20" customHeight="1">
      <c r="A247" s="4" t="inlineStr">
        <is>
          <t>ST246</t>
        </is>
      </c>
      <c r="B247" s="5" t="inlineStr">
        <is>
          <t>Medical Leave and Condonation of Attendance: Rules and Impact on Exam Eligibility</t>
        </is>
      </c>
      <c r="C247" s="4" t="inlineStr">
        <is>
          <t>Student</t>
        </is>
      </c>
      <c r="D247" s="5" t="inlineStr">
        <is>
          <t>Attendance</t>
        </is>
      </c>
      <c r="E247" s="4" t="inlineStr">
        <is>
          <t>Guide</t>
        </is>
      </c>
      <c r="F247" s="4" t="inlineStr">
        <is>
          <t>Reference</t>
        </is>
      </c>
      <c r="G247" s="5" t="inlineStr">
        <is>
          <t>medical certificate for attendance shortage college</t>
        </is>
      </c>
      <c r="H247" s="5" t="inlineStr">
        <is>
          <t>condonation of attendance rules, attendance relaxation medical ground, minimum attendance with medical</t>
        </is>
      </c>
      <c r="I247" s="5" t="inlineStr">
        <is>
          <t>Attendance Calculator</t>
        </is>
      </c>
      <c r="J247" s="5" t="inlineStr">
        <is>
          <t>/student/attendance-calculator</t>
        </is>
      </c>
      <c r="K247" s="5" t="inlineStr">
        <is>
          <t>Explain how medical condonations work: why certificates cannot raise attendance above 75% from scratch but merely lower the debarment threshold from 75% to 65%.</t>
        </is>
      </c>
      <c r="L247" s="4" t="inlineStr">
        <is>
          <t>YES</t>
        </is>
      </c>
      <c r="M247" s="4" t="inlineStr">
        <is>
          <t>HIGH</t>
        </is>
      </c>
      <c r="N247" s="4" t="inlineStr">
        <is>
          <t>READY</t>
        </is>
      </c>
      <c r="O247" s="5" t="inlineStr"/>
      <c r="P247" s="5" t="inlineStr"/>
      <c r="Q247" s="5" t="inlineStr"/>
      <c r="R247" s="5" t="inlineStr"/>
    </row>
    <row r="248" ht="20" customHeight="1">
      <c r="A248" s="2" t="inlineStr">
        <is>
          <t>ST247</t>
        </is>
      </c>
      <c r="B248" s="3" t="inlineStr">
        <is>
          <t>Duty Leave (On-Duty / OD) for College Fests and Sports: How Attendance Is Credited</t>
        </is>
      </c>
      <c r="C248" s="2" t="inlineStr">
        <is>
          <t>Student</t>
        </is>
      </c>
      <c r="D248" s="3" t="inlineStr">
        <is>
          <t>Attendance</t>
        </is>
      </c>
      <c r="E248" s="2" t="inlineStr">
        <is>
          <t>Guide</t>
        </is>
      </c>
      <c r="F248" s="2" t="inlineStr">
        <is>
          <t>Educational</t>
        </is>
      </c>
      <c r="G248" s="3" t="inlineStr">
        <is>
          <t>on duty attendance college rules</t>
        </is>
      </c>
      <c r="H248" s="3" t="inlineStr">
        <is>
          <t>od attendance rules, duty leave college fest, how on duty classes are calculated</t>
        </is>
      </c>
      <c r="I248" s="3" t="inlineStr">
        <is>
          <t>Attendance Calculator</t>
        </is>
      </c>
      <c r="J248" s="3" t="inlineStr">
        <is>
          <t>/student/attendance-calculator</t>
        </is>
      </c>
      <c r="K248" s="3" t="inlineStr">
        <is>
          <t>Detail how On-Duty (OD) slips are processed: whether they add to 'attended' classes or subtract from 'total' classes conducted, altering calculations.</t>
        </is>
      </c>
      <c r="L248" s="2" t="inlineStr">
        <is>
          <t>YES</t>
        </is>
      </c>
      <c r="M248" s="2" t="inlineStr">
        <is>
          <t>MEDIUM</t>
        </is>
      </c>
      <c r="N248" s="2" t="inlineStr">
        <is>
          <t>READY</t>
        </is>
      </c>
      <c r="O248" s="3" t="inlineStr"/>
      <c r="P248" s="3" t="inlineStr"/>
      <c r="Q248" s="3" t="inlineStr"/>
      <c r="R248" s="3" t="inlineStr"/>
    </row>
    <row r="249" ht="20" customHeight="1">
      <c r="A249" s="4" t="inlineStr">
        <is>
          <t>ST248</t>
        </is>
      </c>
      <c r="B249" s="5" t="inlineStr">
        <is>
          <t>75% vs 80% vs 85% Attendance Rules: Why Engineering and Medical Colleges Differ</t>
        </is>
      </c>
      <c r="C249" s="4" t="inlineStr">
        <is>
          <t>Student</t>
        </is>
      </c>
      <c r="D249" s="5" t="inlineStr">
        <is>
          <t>Attendance</t>
        </is>
      </c>
      <c r="E249" s="4" t="inlineStr">
        <is>
          <t>Comparison</t>
        </is>
      </c>
      <c r="F249" s="4" t="inlineStr">
        <is>
          <t>Comparison</t>
        </is>
      </c>
      <c r="G249" s="5" t="inlineStr">
        <is>
          <t>75 vs 80 attendance rule</t>
        </is>
      </c>
      <c r="H249" s="5" t="inlineStr">
        <is>
          <t>nmc medical attendance requirement, 85 percent attendance rule, engineering vs mbbs attendance</t>
        </is>
      </c>
      <c r="I249" s="5" t="inlineStr">
        <is>
          <t>Attendance Calculator</t>
        </is>
      </c>
      <c r="J249" s="5" t="inlineStr">
        <is>
          <t>/student/attendance-calculator</t>
        </is>
      </c>
      <c r="K249" s="5" t="inlineStr">
        <is>
          <t>Compare regulatory standards: UGC/AICTE (75% theory) vs NMC for MBBS (75% theory, 80% practicals) vs BCI for Law (70%), and calculating requirements.</t>
        </is>
      </c>
      <c r="L249" s="4" t="inlineStr">
        <is>
          <t>YES</t>
        </is>
      </c>
      <c r="M249" s="4" t="inlineStr">
        <is>
          <t>HIGH</t>
        </is>
      </c>
      <c r="N249" s="4" t="inlineStr">
        <is>
          <t>READY</t>
        </is>
      </c>
      <c r="O249" s="5" t="inlineStr"/>
      <c r="P249" s="5" t="inlineStr"/>
      <c r="Q249" s="5" t="inlineStr"/>
      <c r="R249" s="5" t="inlineStr"/>
    </row>
    <row r="250" ht="20" customHeight="1">
      <c r="A250" s="2" t="inlineStr">
        <is>
          <t>ST249</t>
        </is>
      </c>
      <c r="B250" s="3" t="inlineStr">
        <is>
          <t>How to Calculate Attendance Shortage Percentage for University Condonation</t>
        </is>
      </c>
      <c r="C250" s="2" t="inlineStr">
        <is>
          <t>Student</t>
        </is>
      </c>
      <c r="D250" s="3" t="inlineStr">
        <is>
          <t>Attendance</t>
        </is>
      </c>
      <c r="E250" s="2" t="inlineStr">
        <is>
          <t>How-To</t>
        </is>
      </c>
      <c r="F250" s="2" t="inlineStr">
        <is>
          <t>How-To</t>
        </is>
      </c>
      <c r="G250" s="3" t="inlineStr">
        <is>
          <t>how to calculate attendance shortage</t>
        </is>
      </c>
      <c r="H250" s="3" t="inlineStr">
        <is>
          <t>attendance shortage formula, percentage shortage calculation, condonation fee calculation</t>
        </is>
      </c>
      <c r="I250" s="3" t="inlineStr">
        <is>
          <t>Attendance Calculator</t>
        </is>
      </c>
      <c r="J250" s="3" t="inlineStr">
        <is>
          <t>/student/attendance-calculator</t>
        </is>
      </c>
      <c r="K250" s="3" t="inlineStr">
        <is>
          <t>Calculate Shortage % = Required % - Actual %. Explain how universities calculate condonation fines proportionally to the shortage gap.</t>
        </is>
      </c>
      <c r="L250" s="2" t="inlineStr">
        <is>
          <t>YES</t>
        </is>
      </c>
      <c r="M250" s="2" t="inlineStr">
        <is>
          <t>MEDIUM</t>
        </is>
      </c>
      <c r="N250" s="2" t="inlineStr">
        <is>
          <t>READY</t>
        </is>
      </c>
      <c r="O250" s="3" t="inlineStr"/>
      <c r="P250" s="3" t="inlineStr"/>
      <c r="Q250" s="3" t="inlineStr"/>
      <c r="R250" s="3" t="inlineStr"/>
    </row>
    <row r="251" ht="20" customHeight="1">
      <c r="A251" s="4" t="inlineStr">
        <is>
          <t>ST250</t>
        </is>
      </c>
      <c r="B251" s="5" t="inlineStr">
        <is>
          <t>Can You Recover from 50% Attendance in the Remaining Half of the Semester?</t>
        </is>
      </c>
      <c r="C251" s="4" t="inlineStr">
        <is>
          <t>Student</t>
        </is>
      </c>
      <c r="D251" s="5" t="inlineStr">
        <is>
          <t>Attendance</t>
        </is>
      </c>
      <c r="E251" s="4" t="inlineStr">
        <is>
          <t>Explanation</t>
        </is>
      </c>
      <c r="F251" s="4" t="inlineStr">
        <is>
          <t>Planning</t>
        </is>
      </c>
      <c r="G251" s="5" t="inlineStr">
        <is>
          <t>can i reach 75 from 50 attendance</t>
        </is>
      </c>
      <c r="H251" s="5" t="inlineStr">
        <is>
          <t>recovering from 50 percent attendance, is it possible to reach 75 attendance, attendance math recovery</t>
        </is>
      </c>
      <c r="I251" s="5" t="inlineStr">
        <is>
          <t>Attendance Calculator</t>
        </is>
      </c>
      <c r="J251" s="5" t="inlineStr">
        <is>
          <t>/student/attendance-calculator</t>
        </is>
      </c>
      <c r="K251" s="5" t="inlineStr">
        <is>
          <t>Perform mathematical feasibility analysis: determine total remaining lectures needed to mathematically cross 75%, and when recovery is mathematically impossible.</t>
        </is>
      </c>
      <c r="L251" s="4" t="inlineStr">
        <is>
          <t>YES</t>
        </is>
      </c>
      <c r="M251" s="4" t="inlineStr">
        <is>
          <t>HIGH</t>
        </is>
      </c>
      <c r="N251" s="4" t="inlineStr">
        <is>
          <t>READY</t>
        </is>
      </c>
      <c r="O251" s="5" t="inlineStr"/>
      <c r="P251" s="5" t="inlineStr"/>
      <c r="Q251" s="5" t="inlineStr"/>
      <c r="R251" s="5" t="inlineStr"/>
    </row>
    <row r="252" ht="20" customHeight="1">
      <c r="A252" s="2" t="inlineStr">
        <is>
          <t>ST251</t>
        </is>
      </c>
      <c r="B252" s="3" t="inlineStr">
        <is>
          <t>How Proxy Attendance Harms Students: Institutional Disciplinary Actions and Risks</t>
        </is>
      </c>
      <c r="C252" s="2" t="inlineStr">
        <is>
          <t>Student</t>
        </is>
      </c>
      <c r="D252" s="3" t="inlineStr">
        <is>
          <t>Attendance</t>
        </is>
      </c>
      <c r="E252" s="2" t="inlineStr">
        <is>
          <t>Explanation</t>
        </is>
      </c>
      <c r="F252" s="2" t="inlineStr">
        <is>
          <t>Informational</t>
        </is>
      </c>
      <c r="G252" s="3" t="inlineStr">
        <is>
          <t>consequences of proxy attendance in college</t>
        </is>
      </c>
      <c r="H252" s="3" t="inlineStr">
        <is>
          <t>biometric attendance college, proxy attendance punishment, rfid attendance verification</t>
        </is>
      </c>
      <c r="I252" s="3" t="inlineStr">
        <is>
          <t>Attendance Calculator</t>
        </is>
      </c>
      <c r="J252" s="3" t="inlineStr">
        <is>
          <t>/student/attendance-calculator</t>
        </is>
      </c>
      <c r="K252" s="3" t="inlineStr">
        <is>
          <t>Explore the shift to biometric and RFID tracking, formal university disciplinary committees, semester suspension risks, and ethical considerations.</t>
        </is>
      </c>
      <c r="L252" s="2" t="inlineStr">
        <is>
          <t>YES</t>
        </is>
      </c>
      <c r="M252" s="2" t="inlineStr">
        <is>
          <t>LOW</t>
        </is>
      </c>
      <c r="N252" s="2" t="inlineStr">
        <is>
          <t>READY</t>
        </is>
      </c>
      <c r="O252" s="3" t="inlineStr"/>
      <c r="P252" s="3" t="inlineStr"/>
      <c r="Q252" s="3" t="inlineStr"/>
      <c r="R252" s="3" t="inlineStr"/>
    </row>
    <row r="253" ht="20" customHeight="1">
      <c r="A253" s="4" t="inlineStr">
        <is>
          <t>ST252</t>
        </is>
      </c>
      <c r="B253" s="5" t="inlineStr">
        <is>
          <t>Understanding Cumulative vs Subject-Wise Attendance in Semester Marksheets</t>
        </is>
      </c>
      <c r="C253" s="4" t="inlineStr">
        <is>
          <t>Student</t>
        </is>
      </c>
      <c r="D253" s="5" t="inlineStr">
        <is>
          <t>Attendance</t>
        </is>
      </c>
      <c r="E253" s="4" t="inlineStr">
        <is>
          <t>Comparison</t>
        </is>
      </c>
      <c r="F253" s="4" t="inlineStr">
        <is>
          <t>Educational</t>
        </is>
      </c>
      <c r="G253" s="5" t="inlineStr">
        <is>
          <t>subject wise attendance vs overall attendance</t>
        </is>
      </c>
      <c r="H253" s="5" t="inlineStr">
        <is>
          <t>can you be detained in one subject for attendance, individual subject 75 rule, aggregate attendance</t>
        </is>
      </c>
      <c r="I253" s="5" t="inlineStr">
        <is>
          <t>Attendance Calculator</t>
        </is>
      </c>
      <c r="J253" s="5" t="inlineStr">
        <is>
          <t>/student/attendance-calculator</t>
        </is>
      </c>
      <c r="K253" s="5" t="inlineStr">
        <is>
          <t>Clarify the critical institutional difference between aggregate semester attendance and strict individual-subject 75% thresholds.</t>
        </is>
      </c>
      <c r="L253" s="4" t="inlineStr">
        <is>
          <t>YES</t>
        </is>
      </c>
      <c r="M253" s="4" t="inlineStr">
        <is>
          <t>HIGH</t>
        </is>
      </c>
      <c r="N253" s="4" t="inlineStr">
        <is>
          <t>READY</t>
        </is>
      </c>
      <c r="O253" s="5" t="inlineStr"/>
      <c r="P253" s="5" t="inlineStr"/>
      <c r="Q253" s="5" t="inlineStr"/>
      <c r="R253" s="5" t="inlineStr"/>
    </row>
    <row r="254" ht="20" customHeight="1">
      <c r="A254" s="2" t="inlineStr">
        <is>
          <t>ST253</t>
        </is>
      </c>
      <c r="B254" s="3" t="inlineStr">
        <is>
          <t>How to Plan Semester Bunks Strategically Across Festival Weeks and Midterms</t>
        </is>
      </c>
      <c r="C254" s="2" t="inlineStr">
        <is>
          <t>Student</t>
        </is>
      </c>
      <c r="D254" s="3" t="inlineStr">
        <is>
          <t>Attendance</t>
        </is>
      </c>
      <c r="E254" s="2" t="inlineStr">
        <is>
          <t>Planning Guide</t>
        </is>
      </c>
      <c r="F254" s="2" t="inlineStr">
        <is>
          <t>Planning</t>
        </is>
      </c>
      <c r="G254" s="3" t="inlineStr">
        <is>
          <t>how to plan bunks in college</t>
        </is>
      </c>
      <c r="H254" s="3" t="inlineStr">
        <is>
          <t>strategic bunking college, saving attendance for end semester, college bunk planner</t>
        </is>
      </c>
      <c r="I254" s="3" t="inlineStr">
        <is>
          <t>Attendance Calculator</t>
        </is>
      </c>
      <c r="J254" s="3" t="inlineStr">
        <is>
          <t>/student/attendance-calculator</t>
        </is>
      </c>
      <c r="K254" s="3" t="inlineStr">
        <is>
          <t>A practical planning methodology for engineering and degree students: maintaining an 80% attendance buffer early in the semester to absorb exam-time prep leave.</t>
        </is>
      </c>
      <c r="L254" s="2" t="inlineStr">
        <is>
          <t>YES</t>
        </is>
      </c>
      <c r="M254" s="2" t="inlineStr">
        <is>
          <t>HIGH</t>
        </is>
      </c>
      <c r="N254" s="2" t="inlineStr">
        <is>
          <t>READY</t>
        </is>
      </c>
      <c r="O254" s="3" t="inlineStr"/>
      <c r="P254" s="3" t="inlineStr"/>
      <c r="Q254" s="3" t="inlineStr"/>
      <c r="R254" s="3" t="inlineStr"/>
    </row>
    <row r="255" ht="20" customHeight="1">
      <c r="A255" s="4" t="inlineStr">
        <is>
          <t>ST254</t>
        </is>
      </c>
      <c r="B255" s="5" t="inlineStr">
        <is>
          <t>How Biometric and RFID Attendance Systems Prevent Backdated Regularization</t>
        </is>
      </c>
      <c r="C255" s="4" t="inlineStr">
        <is>
          <t>Student</t>
        </is>
      </c>
      <c r="D255" s="5" t="inlineStr">
        <is>
          <t>Attendance</t>
        </is>
      </c>
      <c r="E255" s="4" t="inlineStr">
        <is>
          <t>Explanation</t>
        </is>
      </c>
      <c r="F255" s="4" t="inlineStr">
        <is>
          <t>Informational</t>
        </is>
      </c>
      <c r="G255" s="5" t="inlineStr">
        <is>
          <t>biometric attendance system in colleges</t>
        </is>
      </c>
      <c r="H255" s="5" t="inlineStr">
        <is>
          <t>rfid student attendance, backdated attendance regularization, digital attendance tracking</t>
        </is>
      </c>
      <c r="I255" s="5" t="inlineStr">
        <is>
          <t>Attendance Calculator</t>
        </is>
      </c>
      <c r="J255" s="5" t="inlineStr">
        <is>
          <t>/student/attendance-calculator</t>
        </is>
      </c>
      <c r="K255" s="5" t="inlineStr">
        <is>
          <t>Explain automated database logging in modern campuses and why manual appeals to professors for backdated attendance are increasingly impossible.</t>
        </is>
      </c>
      <c r="L255" s="4" t="inlineStr">
        <is>
          <t>YES</t>
        </is>
      </c>
      <c r="M255" s="4" t="inlineStr">
        <is>
          <t>LOW</t>
        </is>
      </c>
      <c r="N255" s="4" t="inlineStr">
        <is>
          <t>READY</t>
        </is>
      </c>
      <c r="O255" s="5" t="inlineStr"/>
      <c r="P255" s="5" t="inlineStr"/>
      <c r="Q255" s="5" t="inlineStr"/>
      <c r="R255" s="5" t="inlineStr"/>
    </row>
    <row r="256" ht="20" customHeight="1">
      <c r="A256" s="2" t="inlineStr">
        <is>
          <t>ST255</t>
        </is>
      </c>
      <c r="B256" s="3" t="inlineStr">
        <is>
          <t>Attendance Marks in Internal Assessment: How 5-10 Marks Are Awarded</t>
        </is>
      </c>
      <c r="C256" s="2" t="inlineStr">
        <is>
          <t>Student</t>
        </is>
      </c>
      <c r="D256" s="3" t="inlineStr">
        <is>
          <t>Attendance</t>
        </is>
      </c>
      <c r="E256" s="2" t="inlineStr">
        <is>
          <t>Guide</t>
        </is>
      </c>
      <c r="F256" s="2" t="inlineStr">
        <is>
          <t>Reference</t>
        </is>
      </c>
      <c r="G256" s="3" t="inlineStr">
        <is>
          <t>attendance marks in internal assessment</t>
        </is>
      </c>
      <c r="H256" s="3" t="inlineStr">
        <is>
          <t>internal marks for attendance college, attendance marks slab, marks for 90 attendance</t>
        </is>
      </c>
      <c r="I256" s="3" t="inlineStr">
        <is>
          <t>Attendance Calculator</t>
        </is>
      </c>
      <c r="J256" s="3" t="inlineStr">
        <is>
          <t>/student/attendance-calculator</t>
        </is>
      </c>
      <c r="K256" s="3" t="inlineStr">
        <is>
          <t>Break down typical university marks slabs: 5 marks for 95%+, 4 marks for 90-94%, 3 marks for 85-89%, 2 marks for 80-84%, 1 mark for 75-79%.</t>
        </is>
      </c>
      <c r="L256" s="2" t="inlineStr">
        <is>
          <t>YES</t>
        </is>
      </c>
      <c r="M256" s="2" t="inlineStr">
        <is>
          <t>HIGH</t>
        </is>
      </c>
      <c r="N256" s="2" t="inlineStr">
        <is>
          <t>READY</t>
        </is>
      </c>
      <c r="O256" s="3" t="inlineStr"/>
      <c r="P256" s="3" t="inlineStr"/>
      <c r="Q256" s="3" t="inlineStr"/>
      <c r="R256" s="3" t="inlineStr"/>
    </row>
    <row r="257" ht="20" customHeight="1">
      <c r="A257" s="4" t="inlineStr">
        <is>
          <t>ST256</t>
        </is>
      </c>
      <c r="B257" s="5" t="inlineStr">
        <is>
          <t>How Many Consecutive Classes Must You Attend to Go from 70% to 75%?</t>
        </is>
      </c>
      <c r="C257" s="4" t="inlineStr">
        <is>
          <t>Student</t>
        </is>
      </c>
      <c r="D257" s="5" t="inlineStr">
        <is>
          <t>Attendance</t>
        </is>
      </c>
      <c r="E257" s="4" t="inlineStr">
        <is>
          <t>Example</t>
        </is>
      </c>
      <c r="F257" s="4" t="inlineStr">
        <is>
          <t>Planning</t>
        </is>
      </c>
      <c r="G257" s="5" t="inlineStr">
        <is>
          <t>how many classes to attend to go from 70 to 75</t>
        </is>
      </c>
      <c r="H257" s="5" t="inlineStr">
        <is>
          <t>recovering 5 percent attendance, consecutive classes formula, reaching 75 attendance</t>
        </is>
      </c>
      <c r="I257" s="5" t="inlineStr">
        <is>
          <t>Attendance Calculator</t>
        </is>
      </c>
      <c r="J257" s="5" t="inlineStr">
        <is>
          <t>/student/attendance-calculator</t>
        </is>
      </c>
      <c r="K257" s="5" t="inlineStr">
        <is>
          <t>Worked mathematical scenario showing that if you have 70/100 (70%), you need 20 consecutive classes without a single absence to reach 90/120 (75%).</t>
        </is>
      </c>
      <c r="L257" s="4" t="inlineStr">
        <is>
          <t>YES</t>
        </is>
      </c>
      <c r="M257" s="4" t="inlineStr">
        <is>
          <t>HIGH</t>
        </is>
      </c>
      <c r="N257" s="4" t="inlineStr">
        <is>
          <t>READY</t>
        </is>
      </c>
      <c r="O257" s="5" t="inlineStr"/>
      <c r="P257" s="5" t="inlineStr"/>
      <c r="Q257" s="5" t="inlineStr"/>
      <c r="R257" s="5" t="inlineStr"/>
    </row>
    <row r="258" ht="20" customHeight="1">
      <c r="A258" s="2" t="inlineStr">
        <is>
          <t>ST257</t>
        </is>
      </c>
      <c r="B258" s="3" t="inlineStr">
        <is>
          <t>How Many Consecutive Classes Must You Attend to Go from 65% to 75%?</t>
        </is>
      </c>
      <c r="C258" s="2" t="inlineStr">
        <is>
          <t>Student</t>
        </is>
      </c>
      <c r="D258" s="3" t="inlineStr">
        <is>
          <t>Attendance</t>
        </is>
      </c>
      <c r="E258" s="2" t="inlineStr">
        <is>
          <t>Example</t>
        </is>
      </c>
      <c r="F258" s="2" t="inlineStr">
        <is>
          <t>Planning</t>
        </is>
      </c>
      <c r="G258" s="3" t="inlineStr">
        <is>
          <t>how many classes to attend to go from 65 to 75</t>
        </is>
      </c>
      <c r="H258" s="3" t="inlineStr">
        <is>
          <t>65 to 75 attendance calculation, recovering attendance deficit, attendance formula</t>
        </is>
      </c>
      <c r="I258" s="3" t="inlineStr">
        <is>
          <t>Attendance Calculator</t>
        </is>
      </c>
      <c r="J258" s="3" t="inlineStr">
        <is>
          <t>/student/attendance-calculator</t>
        </is>
      </c>
      <c r="K258" s="3" t="inlineStr">
        <is>
          <t>Detailed mathematical proof showing you need 40 consecutive classes if you currently stand at 65/100 to reach 105/140 (75%).</t>
        </is>
      </c>
      <c r="L258" s="2" t="inlineStr">
        <is>
          <t>YES</t>
        </is>
      </c>
      <c r="M258" s="2" t="inlineStr">
        <is>
          <t>HIGH</t>
        </is>
      </c>
      <c r="N258" s="2" t="inlineStr">
        <is>
          <t>READY</t>
        </is>
      </c>
      <c r="O258" s="3" t="inlineStr"/>
      <c r="P258" s="3" t="inlineStr"/>
      <c r="Q258" s="3" t="inlineStr"/>
      <c r="R258" s="3" t="inlineStr"/>
    </row>
    <row r="259" ht="20" customHeight="1">
      <c r="A259" s="4" t="inlineStr">
        <is>
          <t>ST258</t>
        </is>
      </c>
      <c r="B259" s="5" t="inlineStr">
        <is>
          <t>Can You Reach 85% Attendance If You Currently Have 75%?</t>
        </is>
      </c>
      <c r="C259" s="4" t="inlineStr">
        <is>
          <t>Student</t>
        </is>
      </c>
      <c r="D259" s="5" t="inlineStr">
        <is>
          <t>Attendance</t>
        </is>
      </c>
      <c r="E259" s="4" t="inlineStr">
        <is>
          <t>Example</t>
        </is>
      </c>
      <c r="F259" s="4" t="inlineStr">
        <is>
          <t>Planning</t>
        </is>
      </c>
      <c r="G259" s="5" t="inlineStr">
        <is>
          <t>how to increase attendance from 75 to 85</t>
        </is>
      </c>
      <c r="H259" s="5" t="inlineStr">
        <is>
          <t>reaching 85 percent attendance, classes needed for 85 attendance, attendance goal planning</t>
        </is>
      </c>
      <c r="I259" s="5" t="inlineStr">
        <is>
          <t>Attendance Calculator</t>
        </is>
      </c>
      <c r="J259" s="5" t="inlineStr">
        <is>
          <t>/student/attendance-calculator</t>
        </is>
      </c>
      <c r="K259" s="5" t="inlineStr">
        <is>
          <t>Mathematical derivation showing the steep lecture requirement: from 75/100, reaching 85% requires 67 consecutive classes (142/167 = 85.02%).</t>
        </is>
      </c>
      <c r="L259" s="4" t="inlineStr">
        <is>
          <t>YES</t>
        </is>
      </c>
      <c r="M259" s="4" t="inlineStr">
        <is>
          <t>MEDIUM</t>
        </is>
      </c>
      <c r="N259" s="4" t="inlineStr">
        <is>
          <t>READY</t>
        </is>
      </c>
      <c r="O259" s="5" t="inlineStr"/>
      <c r="P259" s="5" t="inlineStr"/>
      <c r="Q259" s="5" t="inlineStr"/>
      <c r="R259" s="5" t="inlineStr"/>
    </row>
    <row r="260" ht="20" customHeight="1">
      <c r="A260" s="2" t="inlineStr">
        <is>
          <t>ST259</t>
        </is>
      </c>
      <c r="B260" s="3" t="inlineStr">
        <is>
          <t>The 'Bunk Ratio': How to Calculate Safe Absences on a Weekly Timetable</t>
        </is>
      </c>
      <c r="C260" s="2" t="inlineStr">
        <is>
          <t>Student</t>
        </is>
      </c>
      <c r="D260" s="3" t="inlineStr">
        <is>
          <t>Attendance</t>
        </is>
      </c>
      <c r="E260" s="2" t="inlineStr">
        <is>
          <t>Formula Guide</t>
        </is>
      </c>
      <c r="F260" s="2" t="inlineStr">
        <is>
          <t>Planning</t>
        </is>
      </c>
      <c r="G260" s="3" t="inlineStr">
        <is>
          <t>how to calculate bunks per week</t>
        </is>
      </c>
      <c r="H260" s="3" t="inlineStr">
        <is>
          <t>weekly bunk allowance, classes per week attendance calculation, safe absences per subject</t>
        </is>
      </c>
      <c r="I260" s="3" t="inlineStr">
        <is>
          <t>Attendance Calculator</t>
        </is>
      </c>
      <c r="J260" s="3" t="inlineStr">
        <is>
          <t>/student/attendance-calculator</t>
        </is>
      </c>
      <c r="K260" s="3" t="inlineStr">
        <is>
          <t>Formulate a weekly rule of thumb: for a 4-hour per week course, you can safely miss at most 1 class every 4 weeks to stay comfortably at 75%.</t>
        </is>
      </c>
      <c r="L260" s="2" t="inlineStr">
        <is>
          <t>YES</t>
        </is>
      </c>
      <c r="M260" s="2" t="inlineStr">
        <is>
          <t>HIGH</t>
        </is>
      </c>
      <c r="N260" s="2" t="inlineStr">
        <is>
          <t>READY</t>
        </is>
      </c>
      <c r="O260" s="3" t="inlineStr"/>
      <c r="P260" s="3" t="inlineStr"/>
      <c r="Q260" s="3" t="inlineStr"/>
      <c r="R260" s="3" t="inlineStr"/>
    </row>
    <row r="261" ht="20" customHeight="1">
      <c r="A261" s="4" t="inlineStr">
        <is>
          <t>ST260</t>
        </is>
      </c>
      <c r="B261" s="5" t="inlineStr">
        <is>
          <t>What to Do When College Attendance Records Show Unjustified Absenteeism</t>
        </is>
      </c>
      <c r="C261" s="4" t="inlineStr">
        <is>
          <t>Student</t>
        </is>
      </c>
      <c r="D261" s="5" t="inlineStr">
        <is>
          <t>Attendance</t>
        </is>
      </c>
      <c r="E261" s="4" t="inlineStr">
        <is>
          <t>Guide</t>
        </is>
      </c>
      <c r="F261" s="4" t="inlineStr">
        <is>
          <t>How-To</t>
        </is>
      </c>
      <c r="G261" s="5" t="inlineStr">
        <is>
          <t>how to correct attendance discrepancy in college</t>
        </is>
      </c>
      <c r="H261" s="5" t="inlineStr">
        <is>
          <t>attendance dispute college, teacher marked absent mistakenly, attendance grievance application</t>
        </is>
      </c>
      <c r="I261" s="5" t="inlineStr">
        <is>
          <t>Attendance Calculator</t>
        </is>
      </c>
      <c r="J261" s="5" t="inlineStr">
        <is>
          <t>/student/attendance-calculator</t>
        </is>
      </c>
      <c r="K261" s="5" t="inlineStr">
        <is>
          <t>Standard operating procedure for students: obtaining teacher sign-offs, verifying physical register vs ERP portal, and submitting a formal correction memo.</t>
        </is>
      </c>
      <c r="L261" s="4" t="inlineStr">
        <is>
          <t>YES</t>
        </is>
      </c>
      <c r="M261" s="4" t="inlineStr">
        <is>
          <t>MEDIUM</t>
        </is>
      </c>
      <c r="N261" s="4" t="inlineStr">
        <is>
          <t>READY</t>
        </is>
      </c>
      <c r="O261" s="5" t="inlineStr"/>
      <c r="P261" s="5" t="inlineStr"/>
      <c r="Q261" s="5" t="inlineStr"/>
      <c r="R261" s="5" t="inlineStr"/>
    </row>
    <row r="262" ht="20" customHeight="1">
      <c r="A262" s="2" t="inlineStr">
        <is>
          <t>ST261</t>
        </is>
      </c>
      <c r="B262" s="3" t="inlineStr">
        <is>
          <t>55% Attendance: Is It Mathematically Possible to Reach 75% This Semester?</t>
        </is>
      </c>
      <c r="C262" s="2" t="inlineStr">
        <is>
          <t>Student</t>
        </is>
      </c>
      <c r="D262" s="3" t="inlineStr">
        <is>
          <t>Attendance</t>
        </is>
      </c>
      <c r="E262" s="2" t="inlineStr">
        <is>
          <t>Planning Guide</t>
        </is>
      </c>
      <c r="F262" s="2" t="inlineStr">
        <is>
          <t>Planning</t>
        </is>
      </c>
      <c r="G262" s="3" t="inlineStr">
        <is>
          <t>attendance from 55 to 75</t>
        </is>
      </c>
      <c r="H262" s="3" t="inlineStr">
        <is>
          <t>attendance recovery, reach 75 attendance, bunk calculator 55 percent</t>
        </is>
      </c>
      <c r="I262" s="3" t="inlineStr">
        <is>
          <t>Attendance Calculator</t>
        </is>
      </c>
      <c r="J262" s="3" t="inlineStr">
        <is>
          <t>/student/attendance-calculator</t>
        </is>
      </c>
      <c r="K262" s="3" t="inlineStr">
        <is>
          <t>Provide exact mathematical step-by-step calculations for a student currently at 55% aiming for 75% (or maintaining 75%), explaining lecture requirements and safe absence limits.</t>
        </is>
      </c>
      <c r="L262" s="2" t="inlineStr">
        <is>
          <t>YES</t>
        </is>
      </c>
      <c r="M262" s="2" t="inlineStr">
        <is>
          <t>HIGH</t>
        </is>
      </c>
      <c r="N262" s="2" t="inlineStr">
        <is>
          <t>READY</t>
        </is>
      </c>
      <c r="O262" s="3" t="inlineStr"/>
      <c r="P262" s="3" t="inlineStr"/>
      <c r="Q262" s="3" t="inlineStr"/>
      <c r="R262" s="3" t="inlineStr"/>
    </row>
    <row r="263" ht="20" customHeight="1">
      <c r="A263" s="4" t="inlineStr">
        <is>
          <t>ST262</t>
        </is>
      </c>
      <c r="B263" s="5" t="inlineStr">
        <is>
          <t>60% Attendance: Step-by-Step Recovery Plan to Reach 75% Criteria</t>
        </is>
      </c>
      <c r="C263" s="4" t="inlineStr">
        <is>
          <t>Student</t>
        </is>
      </c>
      <c r="D263" s="5" t="inlineStr">
        <is>
          <t>Attendance</t>
        </is>
      </c>
      <c r="E263" s="4" t="inlineStr">
        <is>
          <t>Planning Guide</t>
        </is>
      </c>
      <c r="F263" s="4" t="inlineStr">
        <is>
          <t>Planning</t>
        </is>
      </c>
      <c r="G263" s="5" t="inlineStr">
        <is>
          <t>attendance from 60 to 75</t>
        </is>
      </c>
      <c r="H263" s="5" t="inlineStr">
        <is>
          <t>attendance recovery, reach 75 attendance, bunk calculator 60 percent</t>
        </is>
      </c>
      <c r="I263" s="5" t="inlineStr">
        <is>
          <t>Attendance Calculator</t>
        </is>
      </c>
      <c r="J263" s="5" t="inlineStr">
        <is>
          <t>/student/attendance-calculator</t>
        </is>
      </c>
      <c r="K263" s="5" t="inlineStr">
        <is>
          <t>Provide exact mathematical step-by-step calculations for a student currently at 60% aiming for 75% (or maintaining 75%), explaining lecture requirements and safe absence limits.</t>
        </is>
      </c>
      <c r="L263" s="4" t="inlineStr">
        <is>
          <t>YES</t>
        </is>
      </c>
      <c r="M263" s="4" t="inlineStr">
        <is>
          <t>HIGH</t>
        </is>
      </c>
      <c r="N263" s="4" t="inlineStr">
        <is>
          <t>READY</t>
        </is>
      </c>
      <c r="O263" s="5" t="inlineStr"/>
      <c r="P263" s="5" t="inlineStr"/>
      <c r="Q263" s="5" t="inlineStr"/>
      <c r="R263" s="5" t="inlineStr"/>
    </row>
    <row r="264" ht="20" customHeight="1">
      <c r="A264" s="2" t="inlineStr">
        <is>
          <t>ST263</t>
        </is>
      </c>
      <c r="B264" s="3" t="inlineStr">
        <is>
          <t>62% Attendance to 75%: How Many Lectures Do You Need to Attend?</t>
        </is>
      </c>
      <c r="C264" s="2" t="inlineStr">
        <is>
          <t>Student</t>
        </is>
      </c>
      <c r="D264" s="3" t="inlineStr">
        <is>
          <t>Attendance</t>
        </is>
      </c>
      <c r="E264" s="2" t="inlineStr">
        <is>
          <t>Planning Guide</t>
        </is>
      </c>
      <c r="F264" s="2" t="inlineStr">
        <is>
          <t>Planning</t>
        </is>
      </c>
      <c r="G264" s="3" t="inlineStr">
        <is>
          <t>attendance from 62 to 75</t>
        </is>
      </c>
      <c r="H264" s="3" t="inlineStr">
        <is>
          <t>attendance recovery, reach 75 attendance, bunk calculator 62 percent</t>
        </is>
      </c>
      <c r="I264" s="3" t="inlineStr">
        <is>
          <t>Attendance Calculator</t>
        </is>
      </c>
      <c r="J264" s="3" t="inlineStr">
        <is>
          <t>/student/attendance-calculator</t>
        </is>
      </c>
      <c r="K264" s="3" t="inlineStr">
        <is>
          <t>Provide exact mathematical step-by-step calculations for a student currently at 62% aiming for 75% (or maintaining 75%), explaining lecture requirements and safe absence limits.</t>
        </is>
      </c>
      <c r="L264" s="2" t="inlineStr">
        <is>
          <t>YES</t>
        </is>
      </c>
      <c r="M264" s="2" t="inlineStr">
        <is>
          <t>HIGH</t>
        </is>
      </c>
      <c r="N264" s="2" t="inlineStr">
        <is>
          <t>READY</t>
        </is>
      </c>
      <c r="O264" s="3" t="inlineStr"/>
      <c r="P264" s="3" t="inlineStr"/>
      <c r="Q264" s="3" t="inlineStr"/>
      <c r="R264" s="3" t="inlineStr"/>
    </row>
    <row r="265" ht="20" customHeight="1">
      <c r="A265" s="4" t="inlineStr">
        <is>
          <t>ST264</t>
        </is>
      </c>
      <c r="B265" s="5" t="inlineStr">
        <is>
          <t>68% Attendance: Fast-Track Guide to Reaching 75% Before Hall Tickets</t>
        </is>
      </c>
      <c r="C265" s="4" t="inlineStr">
        <is>
          <t>Student</t>
        </is>
      </c>
      <c r="D265" s="5" t="inlineStr">
        <is>
          <t>Attendance</t>
        </is>
      </c>
      <c r="E265" s="4" t="inlineStr">
        <is>
          <t>Planning Guide</t>
        </is>
      </c>
      <c r="F265" s="4" t="inlineStr">
        <is>
          <t>Planning</t>
        </is>
      </c>
      <c r="G265" s="5" t="inlineStr">
        <is>
          <t>attendance from 68 to 75</t>
        </is>
      </c>
      <c r="H265" s="5" t="inlineStr">
        <is>
          <t>attendance recovery, reach 75 attendance, bunk calculator 68 percent</t>
        </is>
      </c>
      <c r="I265" s="5" t="inlineStr">
        <is>
          <t>Attendance Calculator</t>
        </is>
      </c>
      <c r="J265" s="5" t="inlineStr">
        <is>
          <t>/student/attendance-calculator</t>
        </is>
      </c>
      <c r="K265" s="5" t="inlineStr">
        <is>
          <t>Provide exact mathematical step-by-step calculations for a student currently at 68% aiming for 75% (or maintaining 75%), explaining lecture requirements and safe absence limits.</t>
        </is>
      </c>
      <c r="L265" s="4" t="inlineStr">
        <is>
          <t>YES</t>
        </is>
      </c>
      <c r="M265" s="4" t="inlineStr">
        <is>
          <t>HIGH</t>
        </is>
      </c>
      <c r="N265" s="4" t="inlineStr">
        <is>
          <t>READY</t>
        </is>
      </c>
      <c r="O265" s="5" t="inlineStr"/>
      <c r="P265" s="5" t="inlineStr"/>
      <c r="Q265" s="5" t="inlineStr"/>
      <c r="R265" s="5" t="inlineStr"/>
    </row>
    <row r="266" ht="20" customHeight="1">
      <c r="A266" s="2" t="inlineStr">
        <is>
          <t>ST265</t>
        </is>
      </c>
      <c r="B266" s="3" t="inlineStr">
        <is>
          <t>71% Attendance: How Many More Classes to Avoid Debarment?</t>
        </is>
      </c>
      <c r="C266" s="2" t="inlineStr">
        <is>
          <t>Student</t>
        </is>
      </c>
      <c r="D266" s="3" t="inlineStr">
        <is>
          <t>Attendance</t>
        </is>
      </c>
      <c r="E266" s="2" t="inlineStr">
        <is>
          <t>Planning Guide</t>
        </is>
      </c>
      <c r="F266" s="2" t="inlineStr">
        <is>
          <t>Planning</t>
        </is>
      </c>
      <c r="G266" s="3" t="inlineStr">
        <is>
          <t>attendance from 71 to 75</t>
        </is>
      </c>
      <c r="H266" s="3" t="inlineStr">
        <is>
          <t>attendance recovery, reach 75 attendance, bunk calculator 71 percent</t>
        </is>
      </c>
      <c r="I266" s="3" t="inlineStr">
        <is>
          <t>Attendance Calculator</t>
        </is>
      </c>
      <c r="J266" s="3" t="inlineStr">
        <is>
          <t>/student/attendance-calculator</t>
        </is>
      </c>
      <c r="K266" s="3" t="inlineStr">
        <is>
          <t>Provide exact mathematical step-by-step calculations for a student currently at 71% aiming for 75% (or maintaining 75%), explaining lecture requirements and safe absence limits.</t>
        </is>
      </c>
      <c r="L266" s="2" t="inlineStr">
        <is>
          <t>YES</t>
        </is>
      </c>
      <c r="M266" s="2" t="inlineStr">
        <is>
          <t>HIGH</t>
        </is>
      </c>
      <c r="N266" s="2" t="inlineStr">
        <is>
          <t>READY</t>
        </is>
      </c>
      <c r="O266" s="3" t="inlineStr"/>
      <c r="P266" s="3" t="inlineStr"/>
      <c r="Q266" s="3" t="inlineStr"/>
      <c r="R266" s="3" t="inlineStr"/>
    </row>
    <row r="267" ht="20" customHeight="1">
      <c r="A267" s="4" t="inlineStr">
        <is>
          <t>ST266</t>
        </is>
      </c>
      <c r="B267" s="5" t="inlineStr">
        <is>
          <t>72% Attendance: Just 3% Away - Exact Number of Classes Required</t>
        </is>
      </c>
      <c r="C267" s="4" t="inlineStr">
        <is>
          <t>Student</t>
        </is>
      </c>
      <c r="D267" s="5" t="inlineStr">
        <is>
          <t>Attendance</t>
        </is>
      </c>
      <c r="E267" s="4" t="inlineStr">
        <is>
          <t>Planning Guide</t>
        </is>
      </c>
      <c r="F267" s="4" t="inlineStr">
        <is>
          <t>Planning</t>
        </is>
      </c>
      <c r="G267" s="5" t="inlineStr">
        <is>
          <t>attendance from 72 to 75</t>
        </is>
      </c>
      <c r="H267" s="5" t="inlineStr">
        <is>
          <t>attendance recovery, reach 75 attendance, bunk calculator 72 percent</t>
        </is>
      </c>
      <c r="I267" s="5" t="inlineStr">
        <is>
          <t>Attendance Calculator</t>
        </is>
      </c>
      <c r="J267" s="5" t="inlineStr">
        <is>
          <t>/student/attendance-calculator</t>
        </is>
      </c>
      <c r="K267" s="5" t="inlineStr">
        <is>
          <t>Provide exact mathematical step-by-step calculations for a student currently at 72% aiming for 75% (or maintaining 75%), explaining lecture requirements and safe absence limits.</t>
        </is>
      </c>
      <c r="L267" s="4" t="inlineStr">
        <is>
          <t>YES</t>
        </is>
      </c>
      <c r="M267" s="4" t="inlineStr">
        <is>
          <t>HIGH</t>
        </is>
      </c>
      <c r="N267" s="4" t="inlineStr">
        <is>
          <t>READY</t>
        </is>
      </c>
      <c r="O267" s="5" t="inlineStr"/>
      <c r="P267" s="5" t="inlineStr"/>
      <c r="Q267" s="5" t="inlineStr"/>
      <c r="R267" s="5" t="inlineStr"/>
    </row>
    <row r="268" ht="20" customHeight="1">
      <c r="A268" s="2" t="inlineStr">
        <is>
          <t>ST267</t>
        </is>
      </c>
      <c r="B268" s="3" t="inlineStr">
        <is>
          <t>73% Attendance: Safe Buffer Calculation Before End-Sem Finals</t>
        </is>
      </c>
      <c r="C268" s="2" t="inlineStr">
        <is>
          <t>Student</t>
        </is>
      </c>
      <c r="D268" s="3" t="inlineStr">
        <is>
          <t>Attendance</t>
        </is>
      </c>
      <c r="E268" s="2" t="inlineStr">
        <is>
          <t>Planning Guide</t>
        </is>
      </c>
      <c r="F268" s="2" t="inlineStr">
        <is>
          <t>Planning</t>
        </is>
      </c>
      <c r="G268" s="3" t="inlineStr">
        <is>
          <t>attendance from 73 to 75</t>
        </is>
      </c>
      <c r="H268" s="3" t="inlineStr">
        <is>
          <t>attendance recovery, reach 75 attendance, bunk calculator 73 percent</t>
        </is>
      </c>
      <c r="I268" s="3" t="inlineStr">
        <is>
          <t>Attendance Calculator</t>
        </is>
      </c>
      <c r="J268" s="3" t="inlineStr">
        <is>
          <t>/student/attendance-calculator</t>
        </is>
      </c>
      <c r="K268" s="3" t="inlineStr">
        <is>
          <t>Provide exact mathematical step-by-step calculations for a student currently at 73% aiming for 75% (or maintaining 75%), explaining lecture requirements and safe absence limits.</t>
        </is>
      </c>
      <c r="L268" s="2" t="inlineStr">
        <is>
          <t>YES</t>
        </is>
      </c>
      <c r="M268" s="2" t="inlineStr">
        <is>
          <t>HIGH</t>
        </is>
      </c>
      <c r="N268" s="2" t="inlineStr">
        <is>
          <t>READY</t>
        </is>
      </c>
      <c r="O268" s="3" t="inlineStr"/>
      <c r="P268" s="3" t="inlineStr"/>
      <c r="Q268" s="3" t="inlineStr"/>
      <c r="R268" s="3" t="inlineStr"/>
    </row>
    <row r="269" ht="20" customHeight="1">
      <c r="A269" s="4" t="inlineStr">
        <is>
          <t>ST268</t>
        </is>
      </c>
      <c r="B269" s="5" t="inlineStr">
        <is>
          <t>74% Attendance: Borderline Case Analysis and What to Do</t>
        </is>
      </c>
      <c r="C269" s="4" t="inlineStr">
        <is>
          <t>Student</t>
        </is>
      </c>
      <c r="D269" s="5" t="inlineStr">
        <is>
          <t>Attendance</t>
        </is>
      </c>
      <c r="E269" s="4" t="inlineStr">
        <is>
          <t>Planning Guide</t>
        </is>
      </c>
      <c r="F269" s="4" t="inlineStr">
        <is>
          <t>Planning</t>
        </is>
      </c>
      <c r="G269" s="5" t="inlineStr">
        <is>
          <t>attendance from 74 to 75</t>
        </is>
      </c>
      <c r="H269" s="5" t="inlineStr">
        <is>
          <t>attendance recovery, reach 75 attendance, bunk calculator 74 percent</t>
        </is>
      </c>
      <c r="I269" s="5" t="inlineStr">
        <is>
          <t>Attendance Calculator</t>
        </is>
      </c>
      <c r="J269" s="5" t="inlineStr">
        <is>
          <t>/student/attendance-calculator</t>
        </is>
      </c>
      <c r="K269" s="5" t="inlineStr">
        <is>
          <t>Provide exact mathematical step-by-step calculations for a student currently at 74% aiming for 75% (or maintaining 75%), explaining lecture requirements and safe absence limits.</t>
        </is>
      </c>
      <c r="L269" s="4" t="inlineStr">
        <is>
          <t>YES</t>
        </is>
      </c>
      <c r="M269" s="4" t="inlineStr">
        <is>
          <t>HIGH</t>
        </is>
      </c>
      <c r="N269" s="4" t="inlineStr">
        <is>
          <t>READY</t>
        </is>
      </c>
      <c r="O269" s="5" t="inlineStr"/>
      <c r="P269" s="5" t="inlineStr"/>
      <c r="Q269" s="5" t="inlineStr"/>
      <c r="R269" s="5" t="inlineStr"/>
    </row>
    <row r="270" ht="20" customHeight="1">
      <c r="A270" s="2" t="inlineStr">
        <is>
          <t>ST269</t>
        </is>
      </c>
      <c r="B270" s="3" t="inlineStr">
        <is>
          <t>76% Attendance: Can You Bunk Even One Class Safely?</t>
        </is>
      </c>
      <c r="C270" s="2" t="inlineStr">
        <is>
          <t>Student</t>
        </is>
      </c>
      <c r="D270" s="3" t="inlineStr">
        <is>
          <t>Attendance</t>
        </is>
      </c>
      <c r="E270" s="2" t="inlineStr">
        <is>
          <t>Planning Guide</t>
        </is>
      </c>
      <c r="F270" s="2" t="inlineStr">
        <is>
          <t>Planning</t>
        </is>
      </c>
      <c r="G270" s="3" t="inlineStr">
        <is>
          <t>bunks allowed with 76 attendance</t>
        </is>
      </c>
      <c r="H270" s="3" t="inlineStr">
        <is>
          <t>attendance recovery, reach 75 attendance, bunk calculator 76 percent</t>
        </is>
      </c>
      <c r="I270" s="3" t="inlineStr">
        <is>
          <t>Attendance Calculator</t>
        </is>
      </c>
      <c r="J270" s="3" t="inlineStr">
        <is>
          <t>/student/attendance-calculator</t>
        </is>
      </c>
      <c r="K270" s="3" t="inlineStr">
        <is>
          <t>Provide exact mathematical step-by-step calculations for a student currently at 76% aiming for 75% (or maintaining 75%), explaining lecture requirements and safe absence limits.</t>
        </is>
      </c>
      <c r="L270" s="2" t="inlineStr">
        <is>
          <t>YES</t>
        </is>
      </c>
      <c r="M270" s="2" t="inlineStr">
        <is>
          <t>HIGH</t>
        </is>
      </c>
      <c r="N270" s="2" t="inlineStr">
        <is>
          <t>READY</t>
        </is>
      </c>
      <c r="O270" s="3" t="inlineStr"/>
      <c r="P270" s="3" t="inlineStr"/>
      <c r="Q270" s="3" t="inlineStr"/>
      <c r="R270" s="3" t="inlineStr"/>
    </row>
    <row r="271" ht="20" customHeight="1">
      <c r="A271" s="4" t="inlineStr">
        <is>
          <t>ST270</t>
        </is>
      </c>
      <c r="B271" s="5" t="inlineStr">
        <is>
          <t>78% Attendance: How Many Safe Bunks Before You Drop Under 75%?</t>
        </is>
      </c>
      <c r="C271" s="4" t="inlineStr">
        <is>
          <t>Student</t>
        </is>
      </c>
      <c r="D271" s="5" t="inlineStr">
        <is>
          <t>Attendance</t>
        </is>
      </c>
      <c r="E271" s="4" t="inlineStr">
        <is>
          <t>Planning Guide</t>
        </is>
      </c>
      <c r="F271" s="4" t="inlineStr">
        <is>
          <t>Planning</t>
        </is>
      </c>
      <c r="G271" s="5" t="inlineStr">
        <is>
          <t>bunks allowed with 78 attendance</t>
        </is>
      </c>
      <c r="H271" s="5" t="inlineStr">
        <is>
          <t>attendance recovery, reach 75 attendance, bunk calculator 78 percent</t>
        </is>
      </c>
      <c r="I271" s="5" t="inlineStr">
        <is>
          <t>Attendance Calculator</t>
        </is>
      </c>
      <c r="J271" s="5" t="inlineStr">
        <is>
          <t>/student/attendance-calculator</t>
        </is>
      </c>
      <c r="K271" s="5" t="inlineStr">
        <is>
          <t>Provide exact mathematical step-by-step calculations for a student currently at 78% aiming for 75% (or maintaining 75%), explaining lecture requirements and safe absence limits.</t>
        </is>
      </c>
      <c r="L271" s="4" t="inlineStr">
        <is>
          <t>YES</t>
        </is>
      </c>
      <c r="M271" s="4" t="inlineStr">
        <is>
          <t>HIGH</t>
        </is>
      </c>
      <c r="N271" s="4" t="inlineStr">
        <is>
          <t>READY</t>
        </is>
      </c>
      <c r="O271" s="5" t="inlineStr"/>
      <c r="P271" s="5" t="inlineStr"/>
      <c r="Q271" s="5" t="inlineStr"/>
      <c r="R271" s="5" t="inlineStr"/>
    </row>
    <row r="272" ht="20" customHeight="1">
      <c r="A272" s="2" t="inlineStr">
        <is>
          <t>ST271</t>
        </is>
      </c>
      <c r="B272" s="3" t="inlineStr">
        <is>
          <t>80% Attendance: Safe Bunk Budget for the Rest of the Semester</t>
        </is>
      </c>
      <c r="C272" s="2" t="inlineStr">
        <is>
          <t>Student</t>
        </is>
      </c>
      <c r="D272" s="3" t="inlineStr">
        <is>
          <t>Attendance</t>
        </is>
      </c>
      <c r="E272" s="2" t="inlineStr">
        <is>
          <t>Planning Guide</t>
        </is>
      </c>
      <c r="F272" s="2" t="inlineStr">
        <is>
          <t>Planning</t>
        </is>
      </c>
      <c r="G272" s="3" t="inlineStr">
        <is>
          <t>bunks allowed with 80 attendance</t>
        </is>
      </c>
      <c r="H272" s="3" t="inlineStr">
        <is>
          <t>attendance recovery, reach 75 attendance, bunk calculator 80 percent</t>
        </is>
      </c>
      <c r="I272" s="3" t="inlineStr">
        <is>
          <t>Attendance Calculator</t>
        </is>
      </c>
      <c r="J272" s="3" t="inlineStr">
        <is>
          <t>/student/attendance-calculator</t>
        </is>
      </c>
      <c r="K272" s="3" t="inlineStr">
        <is>
          <t>Provide exact mathematical step-by-step calculations for a student currently at 80% aiming for 75% (or maintaining 75%), explaining lecture requirements and safe absence limits.</t>
        </is>
      </c>
      <c r="L272" s="2" t="inlineStr">
        <is>
          <t>YES</t>
        </is>
      </c>
      <c r="M272" s="2" t="inlineStr">
        <is>
          <t>HIGH</t>
        </is>
      </c>
      <c r="N272" s="2" t="inlineStr">
        <is>
          <t>READY</t>
        </is>
      </c>
      <c r="O272" s="3" t="inlineStr"/>
      <c r="P272" s="3" t="inlineStr"/>
      <c r="Q272" s="3" t="inlineStr"/>
      <c r="R272" s="3" t="inlineStr"/>
    </row>
    <row r="273" ht="20" customHeight="1">
      <c r="A273" s="4" t="inlineStr">
        <is>
          <t>ST272</t>
        </is>
      </c>
      <c r="B273" s="5" t="inlineStr">
        <is>
          <t>82% Attendance: How Many Free Bunks Do You Have?</t>
        </is>
      </c>
      <c r="C273" s="4" t="inlineStr">
        <is>
          <t>Student</t>
        </is>
      </c>
      <c r="D273" s="5" t="inlineStr">
        <is>
          <t>Attendance</t>
        </is>
      </c>
      <c r="E273" s="4" t="inlineStr">
        <is>
          <t>Planning Guide</t>
        </is>
      </c>
      <c r="F273" s="4" t="inlineStr">
        <is>
          <t>Planning</t>
        </is>
      </c>
      <c r="G273" s="5" t="inlineStr">
        <is>
          <t>bunks allowed with 82 attendance</t>
        </is>
      </c>
      <c r="H273" s="5" t="inlineStr">
        <is>
          <t>attendance recovery, reach 75 attendance, bunk calculator 82 percent</t>
        </is>
      </c>
      <c r="I273" s="5" t="inlineStr">
        <is>
          <t>Attendance Calculator</t>
        </is>
      </c>
      <c r="J273" s="5" t="inlineStr">
        <is>
          <t>/student/attendance-calculator</t>
        </is>
      </c>
      <c r="K273" s="5" t="inlineStr">
        <is>
          <t>Provide exact mathematical step-by-step calculations for a student currently at 82% aiming for 75% (or maintaining 75%), explaining lecture requirements and safe absence limits.</t>
        </is>
      </c>
      <c r="L273" s="4" t="inlineStr">
        <is>
          <t>YES</t>
        </is>
      </c>
      <c r="M273" s="4" t="inlineStr">
        <is>
          <t>HIGH</t>
        </is>
      </c>
      <c r="N273" s="4" t="inlineStr">
        <is>
          <t>READY</t>
        </is>
      </c>
      <c r="O273" s="5" t="inlineStr"/>
      <c r="P273" s="5" t="inlineStr"/>
      <c r="Q273" s="5" t="inlineStr"/>
      <c r="R273" s="5" t="inlineStr"/>
    </row>
    <row r="274" ht="20" customHeight="1">
      <c r="A274" s="2" t="inlineStr">
        <is>
          <t>ST273</t>
        </is>
      </c>
      <c r="B274" s="3" t="inlineStr">
        <is>
          <t>85% Attendance: How Many Lectures Can You Miss for Placements or Prep?</t>
        </is>
      </c>
      <c r="C274" s="2" t="inlineStr">
        <is>
          <t>Student</t>
        </is>
      </c>
      <c r="D274" s="3" t="inlineStr">
        <is>
          <t>Attendance</t>
        </is>
      </c>
      <c r="E274" s="2" t="inlineStr">
        <is>
          <t>Planning Guide</t>
        </is>
      </c>
      <c r="F274" s="2" t="inlineStr">
        <is>
          <t>Planning</t>
        </is>
      </c>
      <c r="G274" s="3" t="inlineStr">
        <is>
          <t>bunks allowed with 85 attendance</t>
        </is>
      </c>
      <c r="H274" s="3" t="inlineStr">
        <is>
          <t>attendance recovery, reach 75 attendance, bunk calculator 85 percent</t>
        </is>
      </c>
      <c r="I274" s="3" t="inlineStr">
        <is>
          <t>Attendance Calculator</t>
        </is>
      </c>
      <c r="J274" s="3" t="inlineStr">
        <is>
          <t>/student/attendance-calculator</t>
        </is>
      </c>
      <c r="K274" s="3" t="inlineStr">
        <is>
          <t>Provide exact mathematical step-by-step calculations for a student currently at 85% aiming for 75% (or maintaining 75%), explaining lecture requirements and safe absence limits.</t>
        </is>
      </c>
      <c r="L274" s="2" t="inlineStr">
        <is>
          <t>YES</t>
        </is>
      </c>
      <c r="M274" s="2" t="inlineStr">
        <is>
          <t>HIGH</t>
        </is>
      </c>
      <c r="N274" s="2" t="inlineStr">
        <is>
          <t>READY</t>
        </is>
      </c>
      <c r="O274" s="3" t="inlineStr"/>
      <c r="P274" s="3" t="inlineStr"/>
      <c r="Q274" s="3" t="inlineStr"/>
      <c r="R274" s="3" t="inlineStr"/>
    </row>
    <row r="275" ht="20" customHeight="1">
      <c r="A275" s="4" t="inlineStr">
        <is>
          <t>ST274</t>
        </is>
      </c>
      <c r="B275" s="5" t="inlineStr">
        <is>
          <t>88% Attendance: Strategic Absences for Competitive Exam Study</t>
        </is>
      </c>
      <c r="C275" s="4" t="inlineStr">
        <is>
          <t>Student</t>
        </is>
      </c>
      <c r="D275" s="5" t="inlineStr">
        <is>
          <t>Attendance</t>
        </is>
      </c>
      <c r="E275" s="4" t="inlineStr">
        <is>
          <t>Planning Guide</t>
        </is>
      </c>
      <c r="F275" s="4" t="inlineStr">
        <is>
          <t>Planning</t>
        </is>
      </c>
      <c r="G275" s="5" t="inlineStr">
        <is>
          <t>bunks allowed with 88 attendance</t>
        </is>
      </c>
      <c r="H275" s="5" t="inlineStr">
        <is>
          <t>attendance recovery, reach 75 attendance, bunk calculator 88 percent</t>
        </is>
      </c>
      <c r="I275" s="5" t="inlineStr">
        <is>
          <t>Attendance Calculator</t>
        </is>
      </c>
      <c r="J275" s="5" t="inlineStr">
        <is>
          <t>/student/attendance-calculator</t>
        </is>
      </c>
      <c r="K275" s="5" t="inlineStr">
        <is>
          <t>Provide exact mathematical step-by-step calculations for a student currently at 88% aiming for 75% (or maintaining 75%), explaining lecture requirements and safe absence limits.</t>
        </is>
      </c>
      <c r="L275" s="4" t="inlineStr">
        <is>
          <t>YES</t>
        </is>
      </c>
      <c r="M275" s="4" t="inlineStr">
        <is>
          <t>HIGH</t>
        </is>
      </c>
      <c r="N275" s="4" t="inlineStr">
        <is>
          <t>READY</t>
        </is>
      </c>
      <c r="O275" s="5" t="inlineStr"/>
      <c r="P275" s="5" t="inlineStr"/>
      <c r="Q275" s="5" t="inlineStr"/>
      <c r="R275" s="5" t="inlineStr"/>
    </row>
    <row r="276" ht="20" customHeight="1">
      <c r="A276" s="2" t="inlineStr">
        <is>
          <t>ST275</t>
        </is>
      </c>
      <c r="B276" s="3" t="inlineStr">
        <is>
          <t>90% Attendance: Complete Bunk Allowance Breakdown</t>
        </is>
      </c>
      <c r="C276" s="2" t="inlineStr">
        <is>
          <t>Student</t>
        </is>
      </c>
      <c r="D276" s="3" t="inlineStr">
        <is>
          <t>Attendance</t>
        </is>
      </c>
      <c r="E276" s="2" t="inlineStr">
        <is>
          <t>Planning Guide</t>
        </is>
      </c>
      <c r="F276" s="2" t="inlineStr">
        <is>
          <t>Planning</t>
        </is>
      </c>
      <c r="G276" s="3" t="inlineStr">
        <is>
          <t>bunks allowed with 90 attendance</t>
        </is>
      </c>
      <c r="H276" s="3" t="inlineStr">
        <is>
          <t>attendance recovery, reach 75 attendance, bunk calculator 90 percent</t>
        </is>
      </c>
      <c r="I276" s="3" t="inlineStr">
        <is>
          <t>Attendance Calculator</t>
        </is>
      </c>
      <c r="J276" s="3" t="inlineStr">
        <is>
          <t>/student/attendance-calculator</t>
        </is>
      </c>
      <c r="K276" s="3" t="inlineStr">
        <is>
          <t>Provide exact mathematical step-by-step calculations for a student currently at 90% aiming for 75% (or maintaining 75%), explaining lecture requirements and safe absence limits.</t>
        </is>
      </c>
      <c r="L276" s="2" t="inlineStr">
        <is>
          <t>YES</t>
        </is>
      </c>
      <c r="M276" s="2" t="inlineStr">
        <is>
          <t>HIGH</t>
        </is>
      </c>
      <c r="N276" s="2" t="inlineStr">
        <is>
          <t>READY</t>
        </is>
      </c>
      <c r="O276" s="3" t="inlineStr"/>
      <c r="P276" s="3" t="inlineStr"/>
      <c r="Q276" s="3" t="inlineStr"/>
      <c r="R276" s="3" t="inlineStr"/>
    </row>
    <row r="277" ht="20" customHeight="1">
      <c r="A277" s="4" t="inlineStr">
        <is>
          <t>ST276</t>
        </is>
      </c>
      <c r="B277" s="5" t="inlineStr">
        <is>
          <t>92% Attendance: Calculating Safe Margin for Semester Projects</t>
        </is>
      </c>
      <c r="C277" s="4" t="inlineStr">
        <is>
          <t>Student</t>
        </is>
      </c>
      <c r="D277" s="5" t="inlineStr">
        <is>
          <t>Attendance</t>
        </is>
      </c>
      <c r="E277" s="4" t="inlineStr">
        <is>
          <t>Planning Guide</t>
        </is>
      </c>
      <c r="F277" s="4" t="inlineStr">
        <is>
          <t>Planning</t>
        </is>
      </c>
      <c r="G277" s="5" t="inlineStr">
        <is>
          <t>bunks allowed with 92 attendance</t>
        </is>
      </c>
      <c r="H277" s="5" t="inlineStr">
        <is>
          <t>attendance recovery, reach 75 attendance, bunk calculator 92 percent</t>
        </is>
      </c>
      <c r="I277" s="5" t="inlineStr">
        <is>
          <t>Attendance Calculator</t>
        </is>
      </c>
      <c r="J277" s="5" t="inlineStr">
        <is>
          <t>/student/attendance-calculator</t>
        </is>
      </c>
      <c r="K277" s="5" t="inlineStr">
        <is>
          <t>Provide exact mathematical step-by-step calculations for a student currently at 92% aiming for 75% (or maintaining 75%), explaining lecture requirements and safe absence limits.</t>
        </is>
      </c>
      <c r="L277" s="4" t="inlineStr">
        <is>
          <t>YES</t>
        </is>
      </c>
      <c r="M277" s="4" t="inlineStr">
        <is>
          <t>MEDIUM</t>
        </is>
      </c>
      <c r="N277" s="4" t="inlineStr">
        <is>
          <t>READY</t>
        </is>
      </c>
      <c r="O277" s="5" t="inlineStr"/>
      <c r="P277" s="5" t="inlineStr"/>
      <c r="Q277" s="5" t="inlineStr"/>
      <c r="R277" s="5" t="inlineStr"/>
    </row>
    <row r="278" ht="20" customHeight="1">
      <c r="A278" s="2" t="inlineStr">
        <is>
          <t>ST277</t>
        </is>
      </c>
      <c r="B278" s="3" t="inlineStr">
        <is>
          <t>95% Attendance: Maximum Permissible Bunks Before Crossing 75%</t>
        </is>
      </c>
      <c r="C278" s="2" t="inlineStr">
        <is>
          <t>Student</t>
        </is>
      </c>
      <c r="D278" s="3" t="inlineStr">
        <is>
          <t>Attendance</t>
        </is>
      </c>
      <c r="E278" s="2" t="inlineStr">
        <is>
          <t>Planning Guide</t>
        </is>
      </c>
      <c r="F278" s="2" t="inlineStr">
        <is>
          <t>Planning</t>
        </is>
      </c>
      <c r="G278" s="3" t="inlineStr">
        <is>
          <t>bunks allowed with 95 attendance</t>
        </is>
      </c>
      <c r="H278" s="3" t="inlineStr">
        <is>
          <t>attendance recovery, reach 75 attendance, bunk calculator 95 percent</t>
        </is>
      </c>
      <c r="I278" s="3" t="inlineStr">
        <is>
          <t>Attendance Calculator</t>
        </is>
      </c>
      <c r="J278" s="3" t="inlineStr">
        <is>
          <t>/student/attendance-calculator</t>
        </is>
      </c>
      <c r="K278" s="3" t="inlineStr">
        <is>
          <t>Provide exact mathematical step-by-step calculations for a student currently at 95% aiming for 75% (or maintaining 75%), explaining lecture requirements and safe absence limits.</t>
        </is>
      </c>
      <c r="L278" s="2" t="inlineStr">
        <is>
          <t>YES</t>
        </is>
      </c>
      <c r="M278" s="2" t="inlineStr">
        <is>
          <t>MEDIUM</t>
        </is>
      </c>
      <c r="N278" s="2" t="inlineStr">
        <is>
          <t>READY</t>
        </is>
      </c>
      <c r="O278" s="3" t="inlineStr"/>
      <c r="P278" s="3" t="inlineStr"/>
      <c r="Q278" s="3" t="inlineStr"/>
      <c r="R278" s="3" t="inlineStr"/>
    </row>
    <row r="279" ht="20" customHeight="1">
      <c r="A279" s="4" t="inlineStr">
        <is>
          <t>ST278</t>
        </is>
      </c>
      <c r="B279" s="5" t="inlineStr">
        <is>
          <t>How Many Classes to Attend to Raise Attendance from 80% to 85%?</t>
        </is>
      </c>
      <c r="C279" s="4" t="inlineStr">
        <is>
          <t>Student</t>
        </is>
      </c>
      <c r="D279" s="5" t="inlineStr">
        <is>
          <t>Attendance</t>
        </is>
      </c>
      <c r="E279" s="4" t="inlineStr">
        <is>
          <t>Planning Guide</t>
        </is>
      </c>
      <c r="F279" s="4" t="inlineStr">
        <is>
          <t>Planning</t>
        </is>
      </c>
      <c r="G279" s="5" t="inlineStr">
        <is>
          <t>attendance from 80 to 85</t>
        </is>
      </c>
      <c r="H279" s="5" t="inlineStr">
        <is>
          <t>attendance recovery, reach 85 attendance, bunk calculator 80 percent</t>
        </is>
      </c>
      <c r="I279" s="5" t="inlineStr">
        <is>
          <t>Attendance Calculator</t>
        </is>
      </c>
      <c r="J279" s="5" t="inlineStr">
        <is>
          <t>/student/attendance-calculator</t>
        </is>
      </c>
      <c r="K279" s="5" t="inlineStr">
        <is>
          <t>Provide exact mathematical step-by-step calculations for a student currently at 80% aiming for 85% (or maintaining 85%), explaining lecture requirements and safe absence limits.</t>
        </is>
      </c>
      <c r="L279" s="4" t="inlineStr">
        <is>
          <t>YES</t>
        </is>
      </c>
      <c r="M279" s="4" t="inlineStr">
        <is>
          <t>MEDIUM</t>
        </is>
      </c>
      <c r="N279" s="4" t="inlineStr">
        <is>
          <t>READY</t>
        </is>
      </c>
      <c r="O279" s="5" t="inlineStr"/>
      <c r="P279" s="5" t="inlineStr"/>
      <c r="Q279" s="5" t="inlineStr"/>
      <c r="R279" s="5" t="inlineStr"/>
    </row>
    <row r="280" ht="20" customHeight="1">
      <c r="A280" s="2" t="inlineStr">
        <is>
          <t>ST279</t>
        </is>
      </c>
      <c r="B280" s="3" t="inlineStr">
        <is>
          <t>How Many Classes to Attend to Raise Attendance from 75% to 80%?</t>
        </is>
      </c>
      <c r="C280" s="2" t="inlineStr">
        <is>
          <t>Student</t>
        </is>
      </c>
      <c r="D280" s="3" t="inlineStr">
        <is>
          <t>Attendance</t>
        </is>
      </c>
      <c r="E280" s="2" t="inlineStr">
        <is>
          <t>Planning Guide</t>
        </is>
      </c>
      <c r="F280" s="2" t="inlineStr">
        <is>
          <t>Planning</t>
        </is>
      </c>
      <c r="G280" s="3" t="inlineStr">
        <is>
          <t>attendance from 75 to 80</t>
        </is>
      </c>
      <c r="H280" s="3" t="inlineStr">
        <is>
          <t>attendance recovery, reach 80 attendance, bunk calculator 75 percent</t>
        </is>
      </c>
      <c r="I280" s="3" t="inlineStr">
        <is>
          <t>Attendance Calculator</t>
        </is>
      </c>
      <c r="J280" s="3" t="inlineStr">
        <is>
          <t>/student/attendance-calculator</t>
        </is>
      </c>
      <c r="K280" s="3" t="inlineStr">
        <is>
          <t>Provide exact mathematical step-by-step calculations for a student currently at 75% aiming for 80% (or maintaining 80%), explaining lecture requirements and safe absence limits.</t>
        </is>
      </c>
      <c r="L280" s="2" t="inlineStr">
        <is>
          <t>YES</t>
        </is>
      </c>
      <c r="M280" s="2" t="inlineStr">
        <is>
          <t>HIGH</t>
        </is>
      </c>
      <c r="N280" s="2" t="inlineStr">
        <is>
          <t>READY</t>
        </is>
      </c>
      <c r="O280" s="3" t="inlineStr"/>
      <c r="P280" s="3" t="inlineStr"/>
      <c r="Q280" s="3" t="inlineStr"/>
      <c r="R280" s="3" t="inlineStr"/>
    </row>
    <row r="281" ht="20" customHeight="1">
      <c r="A281" s="4" t="inlineStr">
        <is>
          <t>ST280</t>
        </is>
      </c>
      <c r="B281" s="5" t="inlineStr">
        <is>
          <t>Reaching 80% Attendance from 70%: Practical Lecture Feasibility</t>
        </is>
      </c>
      <c r="C281" s="4" t="inlineStr">
        <is>
          <t>Student</t>
        </is>
      </c>
      <c r="D281" s="5" t="inlineStr">
        <is>
          <t>Attendance</t>
        </is>
      </c>
      <c r="E281" s="4" t="inlineStr">
        <is>
          <t>Planning Guide</t>
        </is>
      </c>
      <c r="F281" s="4" t="inlineStr">
        <is>
          <t>Planning</t>
        </is>
      </c>
      <c r="G281" s="5" t="inlineStr">
        <is>
          <t>attendance from 70 to 80</t>
        </is>
      </c>
      <c r="H281" s="5" t="inlineStr">
        <is>
          <t>attendance recovery, reach 80 attendance, bunk calculator 70 percent</t>
        </is>
      </c>
      <c r="I281" s="5" t="inlineStr">
        <is>
          <t>Attendance Calculator</t>
        </is>
      </c>
      <c r="J281" s="5" t="inlineStr">
        <is>
          <t>/student/attendance-calculator</t>
        </is>
      </c>
      <c r="K281" s="5" t="inlineStr">
        <is>
          <t>Provide exact mathematical step-by-step calculations for a student currently at 70% aiming for 80% (or maintaining 80%), explaining lecture requirements and safe absence limits.</t>
        </is>
      </c>
      <c r="L281" s="4" t="inlineStr">
        <is>
          <t>YES</t>
        </is>
      </c>
      <c r="M281" s="4" t="inlineStr">
        <is>
          <t>MEDIUM</t>
        </is>
      </c>
      <c r="N281" s="4" t="inlineStr">
        <is>
          <t>READY</t>
        </is>
      </c>
      <c r="O281" s="5" t="inlineStr"/>
      <c r="P281" s="5" t="inlineStr"/>
      <c r="Q281" s="5" t="inlineStr"/>
      <c r="R281" s="5" t="inlineStr"/>
    </row>
    <row r="282" ht="20" customHeight="1">
      <c r="A282" s="2" t="inlineStr">
        <is>
          <t>ST281</t>
        </is>
      </c>
      <c r="B282" s="3" t="inlineStr">
        <is>
          <t>Can You Reach 80% Attendance from 65% Before Final Exams?</t>
        </is>
      </c>
      <c r="C282" s="2" t="inlineStr">
        <is>
          <t>Student</t>
        </is>
      </c>
      <c r="D282" s="3" t="inlineStr">
        <is>
          <t>Attendance</t>
        </is>
      </c>
      <c r="E282" s="2" t="inlineStr">
        <is>
          <t>Planning Guide</t>
        </is>
      </c>
      <c r="F282" s="2" t="inlineStr">
        <is>
          <t>Planning</t>
        </is>
      </c>
      <c r="G282" s="3" t="inlineStr">
        <is>
          <t>attendance from 65 to 80</t>
        </is>
      </c>
      <c r="H282" s="3" t="inlineStr">
        <is>
          <t>attendance recovery, reach 80 attendance, bunk calculator 65 percent</t>
        </is>
      </c>
      <c r="I282" s="3" t="inlineStr">
        <is>
          <t>Attendance Calculator</t>
        </is>
      </c>
      <c r="J282" s="3" t="inlineStr">
        <is>
          <t>/student/attendance-calculator</t>
        </is>
      </c>
      <c r="K282" s="3" t="inlineStr">
        <is>
          <t>Provide exact mathematical step-by-step calculations for a student currently at 65% aiming for 80% (or maintaining 80%), explaining lecture requirements and safe absence limits.</t>
        </is>
      </c>
      <c r="L282" s="2" t="inlineStr">
        <is>
          <t>YES</t>
        </is>
      </c>
      <c r="M282" s="2" t="inlineStr">
        <is>
          <t>MEDIUM</t>
        </is>
      </c>
      <c r="N282" s="2" t="inlineStr">
        <is>
          <t>READY</t>
        </is>
      </c>
      <c r="O282" s="3" t="inlineStr"/>
      <c r="P282" s="3" t="inlineStr"/>
      <c r="Q282" s="3" t="inlineStr"/>
      <c r="R282" s="3" t="inlineStr"/>
    </row>
    <row r="283" ht="20" customHeight="1">
      <c r="A283" s="4" t="inlineStr">
        <is>
          <t>ST282</t>
        </is>
      </c>
      <c r="B283" s="5" t="inlineStr">
        <is>
          <t>Can You Reach Medical Condonation Threshold (65%) from 50%?</t>
        </is>
      </c>
      <c r="C283" s="4" t="inlineStr">
        <is>
          <t>Student</t>
        </is>
      </c>
      <c r="D283" s="5" t="inlineStr">
        <is>
          <t>Attendance</t>
        </is>
      </c>
      <c r="E283" s="4" t="inlineStr">
        <is>
          <t>Planning Guide</t>
        </is>
      </c>
      <c r="F283" s="4" t="inlineStr">
        <is>
          <t>Planning</t>
        </is>
      </c>
      <c r="G283" s="5" t="inlineStr">
        <is>
          <t>attendance from 50 to 65</t>
        </is>
      </c>
      <c r="H283" s="5" t="inlineStr">
        <is>
          <t>attendance recovery, reach 65 attendance, bunk calculator 50 percent</t>
        </is>
      </c>
      <c r="I283" s="5" t="inlineStr">
        <is>
          <t>Attendance Calculator</t>
        </is>
      </c>
      <c r="J283" s="5" t="inlineStr">
        <is>
          <t>/student/attendance-calculator</t>
        </is>
      </c>
      <c r="K283" s="5" t="inlineStr">
        <is>
          <t>Provide exact mathematical step-by-step calculations for a student currently at 50% aiming for 65% (or maintaining 65%), explaining lecture requirements and safe absence limits.</t>
        </is>
      </c>
      <c r="L283" s="4" t="inlineStr">
        <is>
          <t>YES</t>
        </is>
      </c>
      <c r="M283" s="4" t="inlineStr">
        <is>
          <t>HIGH</t>
        </is>
      </c>
      <c r="N283" s="4" t="inlineStr">
        <is>
          <t>READY</t>
        </is>
      </c>
      <c r="O283" s="5" t="inlineStr"/>
      <c r="P283" s="5" t="inlineStr"/>
      <c r="Q283" s="5" t="inlineStr"/>
      <c r="R283" s="5" t="inlineStr"/>
    </row>
    <row r="284" ht="20" customHeight="1">
      <c r="A284" s="2" t="inlineStr">
        <is>
          <t>ST283</t>
        </is>
      </c>
      <c r="B284" s="3" t="inlineStr">
        <is>
          <t>How Many Classes Needed to Reach 65% Condonation Limit from 55%?</t>
        </is>
      </c>
      <c r="C284" s="2" t="inlineStr">
        <is>
          <t>Student</t>
        </is>
      </c>
      <c r="D284" s="3" t="inlineStr">
        <is>
          <t>Attendance</t>
        </is>
      </c>
      <c r="E284" s="2" t="inlineStr">
        <is>
          <t>Planning Guide</t>
        </is>
      </c>
      <c r="F284" s="2" t="inlineStr">
        <is>
          <t>Planning</t>
        </is>
      </c>
      <c r="G284" s="3" t="inlineStr">
        <is>
          <t>attendance from 55 to 65</t>
        </is>
      </c>
      <c r="H284" s="3" t="inlineStr">
        <is>
          <t>attendance recovery, reach 65 attendance, bunk calculator 55 percent</t>
        </is>
      </c>
      <c r="I284" s="3" t="inlineStr">
        <is>
          <t>Attendance Calculator</t>
        </is>
      </c>
      <c r="J284" s="3" t="inlineStr">
        <is>
          <t>/student/attendance-calculator</t>
        </is>
      </c>
      <c r="K284" s="3" t="inlineStr">
        <is>
          <t>Provide exact mathematical step-by-step calculations for a student currently at 55% aiming for 65% (or maintaining 65%), explaining lecture requirements and safe absence limits.</t>
        </is>
      </c>
      <c r="L284" s="2" t="inlineStr">
        <is>
          <t>YES</t>
        </is>
      </c>
      <c r="M284" s="2" t="inlineStr">
        <is>
          <t>HIGH</t>
        </is>
      </c>
      <c r="N284" s="2" t="inlineStr">
        <is>
          <t>READY</t>
        </is>
      </c>
      <c r="O284" s="3" t="inlineStr"/>
      <c r="P284" s="3" t="inlineStr"/>
      <c r="Q284" s="3" t="inlineStr"/>
      <c r="R284" s="3" t="inlineStr"/>
    </row>
    <row r="285" ht="20" customHeight="1">
      <c r="A285" s="4" t="inlineStr">
        <is>
          <t>ST284</t>
        </is>
      </c>
      <c r="B285" s="5" t="inlineStr">
        <is>
          <t>58% to 65% Attendance: Securing Eligibility with Medical Leave</t>
        </is>
      </c>
      <c r="C285" s="4" t="inlineStr">
        <is>
          <t>Student</t>
        </is>
      </c>
      <c r="D285" s="5" t="inlineStr">
        <is>
          <t>Attendance</t>
        </is>
      </c>
      <c r="E285" s="4" t="inlineStr">
        <is>
          <t>Planning Guide</t>
        </is>
      </c>
      <c r="F285" s="4" t="inlineStr">
        <is>
          <t>Planning</t>
        </is>
      </c>
      <c r="G285" s="5" t="inlineStr">
        <is>
          <t>attendance from 58 to 65</t>
        </is>
      </c>
      <c r="H285" s="5" t="inlineStr">
        <is>
          <t>attendance recovery, reach 65 attendance, bunk calculator 58 percent</t>
        </is>
      </c>
      <c r="I285" s="5" t="inlineStr">
        <is>
          <t>Attendance Calculator</t>
        </is>
      </c>
      <c r="J285" s="5" t="inlineStr">
        <is>
          <t>/student/attendance-calculator</t>
        </is>
      </c>
      <c r="K285" s="5" t="inlineStr">
        <is>
          <t>Provide exact mathematical step-by-step calculations for a student currently at 58% aiming for 65% (or maintaining 65%), explaining lecture requirements and safe absence limits.</t>
        </is>
      </c>
      <c r="L285" s="4" t="inlineStr">
        <is>
          <t>YES</t>
        </is>
      </c>
      <c r="M285" s="4" t="inlineStr">
        <is>
          <t>HIGH</t>
        </is>
      </c>
      <c r="N285" s="4" t="inlineStr">
        <is>
          <t>READY</t>
        </is>
      </c>
      <c r="O285" s="5" t="inlineStr"/>
      <c r="P285" s="5" t="inlineStr"/>
      <c r="Q285" s="5" t="inlineStr"/>
      <c r="R285" s="5" t="inlineStr"/>
    </row>
    <row r="286" ht="20" customHeight="1">
      <c r="A286" s="2" t="inlineStr">
        <is>
          <t>ST285</t>
        </is>
      </c>
      <c r="B286" s="3" t="inlineStr">
        <is>
          <t>60% to 65% Attendance: Short-Term Attendance Rescue Plan</t>
        </is>
      </c>
      <c r="C286" s="2" t="inlineStr">
        <is>
          <t>Student</t>
        </is>
      </c>
      <c r="D286" s="3" t="inlineStr">
        <is>
          <t>Attendance</t>
        </is>
      </c>
      <c r="E286" s="2" t="inlineStr">
        <is>
          <t>Planning Guide</t>
        </is>
      </c>
      <c r="F286" s="2" t="inlineStr">
        <is>
          <t>Planning</t>
        </is>
      </c>
      <c r="G286" s="3" t="inlineStr">
        <is>
          <t>attendance from 60 to 65</t>
        </is>
      </c>
      <c r="H286" s="3" t="inlineStr">
        <is>
          <t>attendance recovery, reach 65 attendance, bunk calculator 60 percent</t>
        </is>
      </c>
      <c r="I286" s="3" t="inlineStr">
        <is>
          <t>Attendance Calculator</t>
        </is>
      </c>
      <c r="J286" s="3" t="inlineStr">
        <is>
          <t>/student/attendance-calculator</t>
        </is>
      </c>
      <c r="K286" s="3" t="inlineStr">
        <is>
          <t>Provide exact mathematical step-by-step calculations for a student currently at 60% aiming for 65% (or maintaining 65%), explaining lecture requirements and safe absence limits.</t>
        </is>
      </c>
      <c r="L286" s="2" t="inlineStr">
        <is>
          <t>YES</t>
        </is>
      </c>
      <c r="M286" s="2" t="inlineStr">
        <is>
          <t>HIGH</t>
        </is>
      </c>
      <c r="N286" s="2" t="inlineStr">
        <is>
          <t>READY</t>
        </is>
      </c>
      <c r="O286" s="3" t="inlineStr"/>
      <c r="P286" s="3" t="inlineStr"/>
      <c r="Q286" s="3" t="inlineStr"/>
      <c r="R286" s="3" t="inlineStr"/>
    </row>
    <row r="287" ht="20" customHeight="1">
      <c r="A287" s="4" t="inlineStr">
        <is>
          <t>ST286</t>
        </is>
      </c>
      <c r="B287" s="5" t="inlineStr">
        <is>
          <t>62% to 65% Attendance: Calculating the Exact 3% Deficit</t>
        </is>
      </c>
      <c r="C287" s="4" t="inlineStr">
        <is>
          <t>Student</t>
        </is>
      </c>
      <c r="D287" s="5" t="inlineStr">
        <is>
          <t>Attendance</t>
        </is>
      </c>
      <c r="E287" s="4" t="inlineStr">
        <is>
          <t>Planning Guide</t>
        </is>
      </c>
      <c r="F287" s="4" t="inlineStr">
        <is>
          <t>Planning</t>
        </is>
      </c>
      <c r="G287" s="5" t="inlineStr">
        <is>
          <t>attendance from 62 to 65</t>
        </is>
      </c>
      <c r="H287" s="5" t="inlineStr">
        <is>
          <t>attendance recovery, reach 65 attendance, bunk calculator 62 percent</t>
        </is>
      </c>
      <c r="I287" s="5" t="inlineStr">
        <is>
          <t>Attendance Calculator</t>
        </is>
      </c>
      <c r="J287" s="5" t="inlineStr">
        <is>
          <t>/student/attendance-calculator</t>
        </is>
      </c>
      <c r="K287" s="5" t="inlineStr">
        <is>
          <t>Provide exact mathematical step-by-step calculations for a student currently at 62% aiming for 65% (or maintaining 65%), explaining lecture requirements and safe absence limits.</t>
        </is>
      </c>
      <c r="L287" s="4" t="inlineStr">
        <is>
          <t>YES</t>
        </is>
      </c>
      <c r="M287" s="4" t="inlineStr">
        <is>
          <t>MEDIUM</t>
        </is>
      </c>
      <c r="N287" s="4" t="inlineStr">
        <is>
          <t>READY</t>
        </is>
      </c>
      <c r="O287" s="5" t="inlineStr"/>
      <c r="P287" s="5" t="inlineStr"/>
      <c r="Q287" s="5" t="inlineStr"/>
      <c r="R287" s="5" t="inlineStr"/>
    </row>
    <row r="288" ht="20" customHeight="1">
      <c r="A288" s="2" t="inlineStr">
        <is>
          <t>ST287</t>
        </is>
      </c>
      <c r="B288" s="3" t="inlineStr">
        <is>
          <t>64% Attendance: How One Class Can Decide Your Exam Eligibility</t>
        </is>
      </c>
      <c r="C288" s="2" t="inlineStr">
        <is>
          <t>Student</t>
        </is>
      </c>
      <c r="D288" s="3" t="inlineStr">
        <is>
          <t>Attendance</t>
        </is>
      </c>
      <c r="E288" s="2" t="inlineStr">
        <is>
          <t>Planning Guide</t>
        </is>
      </c>
      <c r="F288" s="2" t="inlineStr">
        <is>
          <t>Planning</t>
        </is>
      </c>
      <c r="G288" s="3" t="inlineStr">
        <is>
          <t>attendance from 64 to 65</t>
        </is>
      </c>
      <c r="H288" s="3" t="inlineStr">
        <is>
          <t>attendance recovery, reach 65 attendance, bunk calculator 64 percent</t>
        </is>
      </c>
      <c r="I288" s="3" t="inlineStr">
        <is>
          <t>Attendance Calculator</t>
        </is>
      </c>
      <c r="J288" s="3" t="inlineStr">
        <is>
          <t>/student/attendance-calculator</t>
        </is>
      </c>
      <c r="K288" s="3" t="inlineStr">
        <is>
          <t>Provide exact mathematical step-by-step calculations for a student currently at 64% aiming for 65% (or maintaining 65%), explaining lecture requirements and safe absence limits.</t>
        </is>
      </c>
      <c r="L288" s="2" t="inlineStr">
        <is>
          <t>YES</t>
        </is>
      </c>
      <c r="M288" s="2" t="inlineStr">
        <is>
          <t>HIGH</t>
        </is>
      </c>
      <c r="N288" s="2" t="inlineStr">
        <is>
          <t>READY</t>
        </is>
      </c>
      <c r="O288" s="3" t="inlineStr"/>
      <c r="P288" s="3" t="inlineStr"/>
      <c r="Q288" s="3" t="inlineStr"/>
      <c r="R288" s="3" t="inlineStr"/>
    </row>
    <row r="289" ht="20" customHeight="1">
      <c r="A289" s="4" t="inlineStr">
        <is>
          <t>ST288</t>
        </is>
      </c>
      <c r="B289" s="5" t="inlineStr">
        <is>
          <t>76% to 80% Attendance: Classes Required for Honors Eligibility</t>
        </is>
      </c>
      <c r="C289" s="4" t="inlineStr">
        <is>
          <t>Student</t>
        </is>
      </c>
      <c r="D289" s="5" t="inlineStr">
        <is>
          <t>Attendance</t>
        </is>
      </c>
      <c r="E289" s="4" t="inlineStr">
        <is>
          <t>Planning Guide</t>
        </is>
      </c>
      <c r="F289" s="4" t="inlineStr">
        <is>
          <t>Planning</t>
        </is>
      </c>
      <c r="G289" s="5" t="inlineStr">
        <is>
          <t>attendance from 76 to 80</t>
        </is>
      </c>
      <c r="H289" s="5" t="inlineStr">
        <is>
          <t>attendance recovery, reach 80 attendance, bunk calculator 76 percent</t>
        </is>
      </c>
      <c r="I289" s="5" t="inlineStr">
        <is>
          <t>Attendance Calculator</t>
        </is>
      </c>
      <c r="J289" s="5" t="inlineStr">
        <is>
          <t>/student/attendance-calculator</t>
        </is>
      </c>
      <c r="K289" s="5" t="inlineStr">
        <is>
          <t>Provide exact mathematical step-by-step calculations for a student currently at 76% aiming for 80% (or maintaining 80%), explaining lecture requirements and safe absence limits.</t>
        </is>
      </c>
      <c r="L289" s="4" t="inlineStr">
        <is>
          <t>YES</t>
        </is>
      </c>
      <c r="M289" s="4" t="inlineStr">
        <is>
          <t>MEDIUM</t>
        </is>
      </c>
      <c r="N289" s="4" t="inlineStr">
        <is>
          <t>READY</t>
        </is>
      </c>
      <c r="O289" s="5" t="inlineStr"/>
      <c r="P289" s="5" t="inlineStr"/>
      <c r="Q289" s="5" t="inlineStr"/>
      <c r="R289" s="5" t="inlineStr"/>
    </row>
    <row r="290" ht="20" customHeight="1">
      <c r="A290" s="2" t="inlineStr">
        <is>
          <t>ST289</t>
        </is>
      </c>
      <c r="B290" s="3" t="inlineStr">
        <is>
          <t>78% to 85% Attendance: Calculating Requirements for Strict Campuses</t>
        </is>
      </c>
      <c r="C290" s="2" t="inlineStr">
        <is>
          <t>Student</t>
        </is>
      </c>
      <c r="D290" s="3" t="inlineStr">
        <is>
          <t>Attendance</t>
        </is>
      </c>
      <c r="E290" s="2" t="inlineStr">
        <is>
          <t>Planning Guide</t>
        </is>
      </c>
      <c r="F290" s="2" t="inlineStr">
        <is>
          <t>Planning</t>
        </is>
      </c>
      <c r="G290" s="3" t="inlineStr">
        <is>
          <t>attendance from 78 to 85</t>
        </is>
      </c>
      <c r="H290" s="3" t="inlineStr">
        <is>
          <t>attendance recovery, reach 85 attendance, bunk calculator 78 percent</t>
        </is>
      </c>
      <c r="I290" s="3" t="inlineStr">
        <is>
          <t>Attendance Calculator</t>
        </is>
      </c>
      <c r="J290" s="3" t="inlineStr">
        <is>
          <t>/student/attendance-calculator</t>
        </is>
      </c>
      <c r="K290" s="3" t="inlineStr">
        <is>
          <t>Provide exact mathematical step-by-step calculations for a student currently at 78% aiming for 85% (or maintaining 85%), explaining lecture requirements and safe absence limits.</t>
        </is>
      </c>
      <c r="L290" s="2" t="inlineStr">
        <is>
          <t>YES</t>
        </is>
      </c>
      <c r="M290" s="2" t="inlineStr">
        <is>
          <t>LOW</t>
        </is>
      </c>
      <c r="N290" s="2" t="inlineStr">
        <is>
          <t>READY</t>
        </is>
      </c>
      <c r="O290" s="3" t="inlineStr"/>
      <c r="P290" s="3" t="inlineStr"/>
      <c r="Q290" s="3" t="inlineStr"/>
      <c r="R290" s="3" t="inlineStr"/>
    </row>
    <row r="291" ht="20" customHeight="1">
      <c r="A291" s="4" t="inlineStr">
        <is>
          <t>ST290</t>
        </is>
      </c>
      <c r="B291" s="5" t="inlineStr">
        <is>
          <t>82% to 85% Attendance: How Many Consecutive Classes Are Needed?</t>
        </is>
      </c>
      <c r="C291" s="4" t="inlineStr">
        <is>
          <t>Student</t>
        </is>
      </c>
      <c r="D291" s="5" t="inlineStr">
        <is>
          <t>Attendance</t>
        </is>
      </c>
      <c r="E291" s="4" t="inlineStr">
        <is>
          <t>Planning Guide</t>
        </is>
      </c>
      <c r="F291" s="4" t="inlineStr">
        <is>
          <t>Planning</t>
        </is>
      </c>
      <c r="G291" s="5" t="inlineStr">
        <is>
          <t>attendance from 82 to 85</t>
        </is>
      </c>
      <c r="H291" s="5" t="inlineStr">
        <is>
          <t>attendance recovery, reach 85 attendance, bunk calculator 82 percent</t>
        </is>
      </c>
      <c r="I291" s="5" t="inlineStr">
        <is>
          <t>Attendance Calculator</t>
        </is>
      </c>
      <c r="J291" s="5" t="inlineStr">
        <is>
          <t>/student/attendance-calculator</t>
        </is>
      </c>
      <c r="K291" s="5" t="inlineStr">
        <is>
          <t>Provide exact mathematical step-by-step calculations for a student currently at 82% aiming for 85% (or maintaining 85%), explaining lecture requirements and safe absence limits.</t>
        </is>
      </c>
      <c r="L291" s="4" t="inlineStr">
        <is>
          <t>YES</t>
        </is>
      </c>
      <c r="M291" s="4" t="inlineStr">
        <is>
          <t>MEDIUM</t>
        </is>
      </c>
      <c r="N291" s="4" t="inlineStr">
        <is>
          <t>READY</t>
        </is>
      </c>
      <c r="O291" s="5" t="inlineStr"/>
      <c r="P291" s="5" t="inlineStr"/>
      <c r="Q291" s="5" t="inlineStr"/>
      <c r="R291" s="5" t="inlineStr"/>
    </row>
    <row r="292" ht="20" customHeight="1">
      <c r="A292" s="2" t="inlineStr">
        <is>
          <t>ST291</t>
        </is>
      </c>
      <c r="B292" s="3" t="inlineStr">
        <is>
          <t>84% to 85% Attendance: Final Push for Distinction Attendance</t>
        </is>
      </c>
      <c r="C292" s="2" t="inlineStr">
        <is>
          <t>Student</t>
        </is>
      </c>
      <c r="D292" s="3" t="inlineStr">
        <is>
          <t>Attendance</t>
        </is>
      </c>
      <c r="E292" s="2" t="inlineStr">
        <is>
          <t>Planning Guide</t>
        </is>
      </c>
      <c r="F292" s="2" t="inlineStr">
        <is>
          <t>Planning</t>
        </is>
      </c>
      <c r="G292" s="3" t="inlineStr">
        <is>
          <t>attendance from 84 to 85</t>
        </is>
      </c>
      <c r="H292" s="3" t="inlineStr">
        <is>
          <t>attendance recovery, reach 85 attendance, bunk calculator 84 percent</t>
        </is>
      </c>
      <c r="I292" s="3" t="inlineStr">
        <is>
          <t>Attendance Calculator</t>
        </is>
      </c>
      <c r="J292" s="3" t="inlineStr">
        <is>
          <t>/student/attendance-calculator</t>
        </is>
      </c>
      <c r="K292" s="3" t="inlineStr">
        <is>
          <t>Provide exact mathematical step-by-step calculations for a student currently at 84% aiming for 85% (or maintaining 85%), explaining lecture requirements and safe absence limits.</t>
        </is>
      </c>
      <c r="L292" s="2" t="inlineStr">
        <is>
          <t>YES</t>
        </is>
      </c>
      <c r="M292" s="2" t="inlineStr">
        <is>
          <t>LOW</t>
        </is>
      </c>
      <c r="N292" s="2" t="inlineStr">
        <is>
          <t>READY</t>
        </is>
      </c>
      <c r="O292" s="3" t="inlineStr"/>
      <c r="P292" s="3" t="inlineStr"/>
      <c r="Q292" s="3" t="inlineStr"/>
      <c r="R292" s="3" t="inlineStr"/>
    </row>
    <row r="293" ht="20" customHeight="1">
      <c r="A293" s="4" t="inlineStr">
        <is>
          <t>ST292</t>
        </is>
      </c>
      <c r="B293" s="5" t="inlineStr">
        <is>
          <t>86% to 90% Attendance: Qualifying for Maximum Internal Marks</t>
        </is>
      </c>
      <c r="C293" s="4" t="inlineStr">
        <is>
          <t>Student</t>
        </is>
      </c>
      <c r="D293" s="5" t="inlineStr">
        <is>
          <t>Attendance</t>
        </is>
      </c>
      <c r="E293" s="4" t="inlineStr">
        <is>
          <t>Planning Guide</t>
        </is>
      </c>
      <c r="F293" s="4" t="inlineStr">
        <is>
          <t>Planning</t>
        </is>
      </c>
      <c r="G293" s="5" t="inlineStr">
        <is>
          <t>attendance from 86 to 90</t>
        </is>
      </c>
      <c r="H293" s="5" t="inlineStr">
        <is>
          <t>attendance recovery, reach 90 attendance, bunk calculator 86 percent</t>
        </is>
      </c>
      <c r="I293" s="5" t="inlineStr">
        <is>
          <t>Attendance Calculator</t>
        </is>
      </c>
      <c r="J293" s="5" t="inlineStr">
        <is>
          <t>/student/attendance-calculator</t>
        </is>
      </c>
      <c r="K293" s="5" t="inlineStr">
        <is>
          <t>Provide exact mathematical step-by-step calculations for a student currently at 86% aiming for 90% (or maintaining 90%), explaining lecture requirements and safe absence limits.</t>
        </is>
      </c>
      <c r="L293" s="4" t="inlineStr">
        <is>
          <t>YES</t>
        </is>
      </c>
      <c r="M293" s="4" t="inlineStr">
        <is>
          <t>MEDIUM</t>
        </is>
      </c>
      <c r="N293" s="4" t="inlineStr">
        <is>
          <t>READY</t>
        </is>
      </c>
      <c r="O293" s="5" t="inlineStr"/>
      <c r="P293" s="5" t="inlineStr"/>
      <c r="Q293" s="5" t="inlineStr"/>
      <c r="R293" s="5" t="inlineStr"/>
    </row>
    <row r="294" ht="20" customHeight="1">
      <c r="A294" s="2" t="inlineStr">
        <is>
          <t>ST293</t>
        </is>
      </c>
      <c r="B294" s="3" t="inlineStr">
        <is>
          <t>88% to 90% Attendance: How to Gain the Last 2% Before Finals</t>
        </is>
      </c>
      <c r="C294" s="2" t="inlineStr">
        <is>
          <t>Student</t>
        </is>
      </c>
      <c r="D294" s="3" t="inlineStr">
        <is>
          <t>Attendance</t>
        </is>
      </c>
      <c r="E294" s="2" t="inlineStr">
        <is>
          <t>Planning Guide</t>
        </is>
      </c>
      <c r="F294" s="2" t="inlineStr">
        <is>
          <t>Planning</t>
        </is>
      </c>
      <c r="G294" s="3" t="inlineStr">
        <is>
          <t>attendance from 88 to 90</t>
        </is>
      </c>
      <c r="H294" s="3" t="inlineStr">
        <is>
          <t>attendance recovery, reach 90 attendance, bunk calculator 88 percent</t>
        </is>
      </c>
      <c r="I294" s="3" t="inlineStr">
        <is>
          <t>Attendance Calculator</t>
        </is>
      </c>
      <c r="J294" s="3" t="inlineStr">
        <is>
          <t>/student/attendance-calculator</t>
        </is>
      </c>
      <c r="K294" s="3" t="inlineStr">
        <is>
          <t>Provide exact mathematical step-by-step calculations for a student currently at 88% aiming for 90% (or maintaining 90%), explaining lecture requirements and safe absence limits.</t>
        </is>
      </c>
      <c r="L294" s="2" t="inlineStr">
        <is>
          <t>YES</t>
        </is>
      </c>
      <c r="M294" s="2" t="inlineStr">
        <is>
          <t>LOW</t>
        </is>
      </c>
      <c r="N294" s="2" t="inlineStr">
        <is>
          <t>READY</t>
        </is>
      </c>
      <c r="O294" s="3" t="inlineStr"/>
      <c r="P294" s="3" t="inlineStr"/>
      <c r="Q294" s="3" t="inlineStr"/>
      <c r="R294" s="3" t="inlineStr"/>
    </row>
    <row r="295" ht="20" customHeight="1">
      <c r="A295" s="4" t="inlineStr">
        <is>
          <t>ST294</t>
        </is>
      </c>
      <c r="B295" s="5" t="inlineStr">
        <is>
          <t>Attendance Recovery Worksheet: 70% to 75% Across 4, 5, and 6-Credit Courses</t>
        </is>
      </c>
      <c r="C295" s="4" t="inlineStr">
        <is>
          <t>Student</t>
        </is>
      </c>
      <c r="D295" s="5" t="inlineStr">
        <is>
          <t>Attendance</t>
        </is>
      </c>
      <c r="E295" s="4" t="inlineStr">
        <is>
          <t>Planning Guide</t>
        </is>
      </c>
      <c r="F295" s="4" t="inlineStr">
        <is>
          <t>Planning</t>
        </is>
      </c>
      <c r="G295" s="5" t="inlineStr">
        <is>
          <t>attendance from 70 to 75</t>
        </is>
      </c>
      <c r="H295" s="5" t="inlineStr">
        <is>
          <t>attendance recovery, reach 75 attendance, bunk calculator 70 percent</t>
        </is>
      </c>
      <c r="I295" s="5" t="inlineStr">
        <is>
          <t>Attendance Calculator</t>
        </is>
      </c>
      <c r="J295" s="5" t="inlineStr">
        <is>
          <t>/student/attendance-calculator</t>
        </is>
      </c>
      <c r="K295" s="5" t="inlineStr">
        <is>
          <t>Provide exact mathematical step-by-step calculations for a student currently at 70% aiming for 75% (or maintaining 75%), explaining lecture requirements and safe absence limits.</t>
        </is>
      </c>
      <c r="L295" s="4" t="inlineStr">
        <is>
          <t>YES</t>
        </is>
      </c>
      <c r="M295" s="4" t="inlineStr">
        <is>
          <t>HIGH</t>
        </is>
      </c>
      <c r="N295" s="4" t="inlineStr">
        <is>
          <t>READY</t>
        </is>
      </c>
      <c r="O295" s="5" t="inlineStr"/>
      <c r="P295" s="5" t="inlineStr"/>
      <c r="Q295" s="5" t="inlineStr"/>
      <c r="R295" s="5" t="inlineStr"/>
    </row>
    <row r="296" ht="20" customHeight="1">
      <c r="A296" s="2" t="inlineStr">
        <is>
          <t>ST295</t>
        </is>
      </c>
      <c r="B296" s="3" t="inlineStr">
        <is>
          <t>Attendance Recovery Worksheet: 65% to 75% Across Different Timetables</t>
        </is>
      </c>
      <c r="C296" s="2" t="inlineStr">
        <is>
          <t>Student</t>
        </is>
      </c>
      <c r="D296" s="3" t="inlineStr">
        <is>
          <t>Attendance</t>
        </is>
      </c>
      <c r="E296" s="2" t="inlineStr">
        <is>
          <t>Planning Guide</t>
        </is>
      </c>
      <c r="F296" s="2" t="inlineStr">
        <is>
          <t>Planning</t>
        </is>
      </c>
      <c r="G296" s="3" t="inlineStr">
        <is>
          <t>attendance from 65 to 75</t>
        </is>
      </c>
      <c r="H296" s="3" t="inlineStr">
        <is>
          <t>attendance recovery, reach 75 attendance, bunk calculator 65 percent</t>
        </is>
      </c>
      <c r="I296" s="3" t="inlineStr">
        <is>
          <t>Attendance Calculator</t>
        </is>
      </c>
      <c r="J296" s="3" t="inlineStr">
        <is>
          <t>/student/attendance-calculator</t>
        </is>
      </c>
      <c r="K296" s="3" t="inlineStr">
        <is>
          <t>Provide exact mathematical step-by-step calculations for a student currently at 65% aiming for 75% (or maintaining 75%), explaining lecture requirements and safe absence limits.</t>
        </is>
      </c>
      <c r="L296" s="2" t="inlineStr">
        <is>
          <t>YES</t>
        </is>
      </c>
      <c r="M296" s="2" t="inlineStr">
        <is>
          <t>HIGH</t>
        </is>
      </c>
      <c r="N296" s="2" t="inlineStr">
        <is>
          <t>READY</t>
        </is>
      </c>
      <c r="O296" s="3" t="inlineStr"/>
      <c r="P296" s="3" t="inlineStr"/>
      <c r="Q296" s="3" t="inlineStr"/>
      <c r="R296" s="3" t="inlineStr"/>
    </row>
    <row r="297" ht="20" customHeight="1">
      <c r="A297" s="4" t="inlineStr">
        <is>
          <t>ST296</t>
        </is>
      </c>
      <c r="B297" s="5" t="inlineStr">
        <is>
          <t>Semester Bunk Table: If You Have 80%, How Many Classes in Each Subject Can You Miss?</t>
        </is>
      </c>
      <c r="C297" s="4" t="inlineStr">
        <is>
          <t>Student</t>
        </is>
      </c>
      <c r="D297" s="5" t="inlineStr">
        <is>
          <t>Attendance</t>
        </is>
      </c>
      <c r="E297" s="4" t="inlineStr">
        <is>
          <t>Planning Guide</t>
        </is>
      </c>
      <c r="F297" s="4" t="inlineStr">
        <is>
          <t>Planning</t>
        </is>
      </c>
      <c r="G297" s="5" t="inlineStr">
        <is>
          <t>bunks allowed with 80 attendance</t>
        </is>
      </c>
      <c r="H297" s="5" t="inlineStr">
        <is>
          <t>attendance recovery, reach 75 attendance, bunk calculator 80 percent</t>
        </is>
      </c>
      <c r="I297" s="5" t="inlineStr">
        <is>
          <t>Attendance Calculator</t>
        </is>
      </c>
      <c r="J297" s="5" t="inlineStr">
        <is>
          <t>/student/attendance-calculator</t>
        </is>
      </c>
      <c r="K297" s="5" t="inlineStr">
        <is>
          <t>Provide exact mathematical step-by-step calculations for a student currently at 80% aiming for 75% (or maintaining 75%), explaining lecture requirements and safe absence limits.</t>
        </is>
      </c>
      <c r="L297" s="4" t="inlineStr">
        <is>
          <t>YES</t>
        </is>
      </c>
      <c r="M297" s="4" t="inlineStr">
        <is>
          <t>HIGH</t>
        </is>
      </c>
      <c r="N297" s="4" t="inlineStr">
        <is>
          <t>READY</t>
        </is>
      </c>
      <c r="O297" s="5" t="inlineStr"/>
      <c r="P297" s="5" t="inlineStr"/>
      <c r="Q297" s="5" t="inlineStr"/>
      <c r="R297" s="5" t="inlineStr"/>
    </row>
    <row r="298" ht="20" customHeight="1">
      <c r="A298" s="2" t="inlineStr">
        <is>
          <t>ST297</t>
        </is>
      </c>
      <c r="B298" s="3" t="inlineStr">
        <is>
          <t>Semester Bunk Table: If You Have 85%, How Many Total Absences Are Allowed?</t>
        </is>
      </c>
      <c r="C298" s="2" t="inlineStr">
        <is>
          <t>Student</t>
        </is>
      </c>
      <c r="D298" s="3" t="inlineStr">
        <is>
          <t>Attendance</t>
        </is>
      </c>
      <c r="E298" s="2" t="inlineStr">
        <is>
          <t>Planning Guide</t>
        </is>
      </c>
      <c r="F298" s="2" t="inlineStr">
        <is>
          <t>Planning</t>
        </is>
      </c>
      <c r="G298" s="3" t="inlineStr">
        <is>
          <t>bunks allowed with 85 attendance</t>
        </is>
      </c>
      <c r="H298" s="3" t="inlineStr">
        <is>
          <t>attendance recovery, reach 75 attendance, bunk calculator 85 percent</t>
        </is>
      </c>
      <c r="I298" s="3" t="inlineStr">
        <is>
          <t>Attendance Calculator</t>
        </is>
      </c>
      <c r="J298" s="3" t="inlineStr">
        <is>
          <t>/student/attendance-calculator</t>
        </is>
      </c>
      <c r="K298" s="3" t="inlineStr">
        <is>
          <t>Provide exact mathematical step-by-step calculations for a student currently at 85% aiming for 75% (or maintaining 75%), explaining lecture requirements and safe absence limits.</t>
        </is>
      </c>
      <c r="L298" s="2" t="inlineStr">
        <is>
          <t>YES</t>
        </is>
      </c>
      <c r="M298" s="2" t="inlineStr">
        <is>
          <t>HIGH</t>
        </is>
      </c>
      <c r="N298" s="2" t="inlineStr">
        <is>
          <t>READY</t>
        </is>
      </c>
      <c r="O298" s="3" t="inlineStr"/>
      <c r="P298" s="3" t="inlineStr"/>
      <c r="Q298" s="3" t="inlineStr"/>
      <c r="R298" s="3" t="inlineStr"/>
    </row>
    <row r="299" ht="20" customHeight="1">
      <c r="A299" s="4" t="inlineStr">
        <is>
          <t>ST298</t>
        </is>
      </c>
      <c r="B299" s="5" t="inlineStr">
        <is>
          <t>Semester Bunk Table: 90% Attendance Margin Across 5 Subjects</t>
        </is>
      </c>
      <c r="C299" s="4" t="inlineStr">
        <is>
          <t>Student</t>
        </is>
      </c>
      <c r="D299" s="5" t="inlineStr">
        <is>
          <t>Attendance</t>
        </is>
      </c>
      <c r="E299" s="4" t="inlineStr">
        <is>
          <t>Planning Guide</t>
        </is>
      </c>
      <c r="F299" s="4" t="inlineStr">
        <is>
          <t>Planning</t>
        </is>
      </c>
      <c r="G299" s="5" t="inlineStr">
        <is>
          <t>bunks allowed with 90 attendance</t>
        </is>
      </c>
      <c r="H299" s="5" t="inlineStr">
        <is>
          <t>attendance recovery, reach 75 attendance, bunk calculator 90 percent</t>
        </is>
      </c>
      <c r="I299" s="5" t="inlineStr">
        <is>
          <t>Attendance Calculator</t>
        </is>
      </c>
      <c r="J299" s="5" t="inlineStr">
        <is>
          <t>/student/attendance-calculator</t>
        </is>
      </c>
      <c r="K299" s="5" t="inlineStr">
        <is>
          <t>Provide exact mathematical step-by-step calculations for a student currently at 90% aiming for 75% (or maintaining 75%), explaining lecture requirements and safe absence limits.</t>
        </is>
      </c>
      <c r="L299" s="4" t="inlineStr">
        <is>
          <t>YES</t>
        </is>
      </c>
      <c r="M299" s="4" t="inlineStr">
        <is>
          <t>HIGH</t>
        </is>
      </c>
      <c r="N299" s="4" t="inlineStr">
        <is>
          <t>READY</t>
        </is>
      </c>
      <c r="O299" s="5" t="inlineStr"/>
      <c r="P299" s="5" t="inlineStr"/>
      <c r="Q299" s="5" t="inlineStr"/>
      <c r="R299" s="5" t="inlineStr"/>
    </row>
    <row r="300" ht="20" customHeight="1">
      <c r="A300" s="2" t="inlineStr">
        <is>
          <t>ST299</t>
        </is>
      </c>
      <c r="B300" s="3" t="inlineStr">
        <is>
          <t>Borderline 75% Attendance: Why Attending the Next Single Class Is Mandatory</t>
        </is>
      </c>
      <c r="C300" s="2" t="inlineStr">
        <is>
          <t>Student</t>
        </is>
      </c>
      <c r="D300" s="3" t="inlineStr">
        <is>
          <t>Attendance</t>
        </is>
      </c>
      <c r="E300" s="2" t="inlineStr">
        <is>
          <t>Planning Guide</t>
        </is>
      </c>
      <c r="F300" s="2" t="inlineStr">
        <is>
          <t>Planning</t>
        </is>
      </c>
      <c r="G300" s="3" t="inlineStr">
        <is>
          <t>bunks allowed with 75 attendance</t>
        </is>
      </c>
      <c r="H300" s="3" t="inlineStr">
        <is>
          <t>attendance recovery, reach 75 attendance, bunk calculator 75 percent</t>
        </is>
      </c>
      <c r="I300" s="3" t="inlineStr">
        <is>
          <t>Attendance Calculator</t>
        </is>
      </c>
      <c r="J300" s="3" t="inlineStr">
        <is>
          <t>/student/attendance-calculator</t>
        </is>
      </c>
      <c r="K300" s="3" t="inlineStr">
        <is>
          <t>Provide exact mathematical step-by-step calculations for a student currently at 75% aiming for 75% (or maintaining 75%), explaining lecture requirements and safe absence limits.</t>
        </is>
      </c>
      <c r="L300" s="2" t="inlineStr">
        <is>
          <t>YES</t>
        </is>
      </c>
      <c r="M300" s="2" t="inlineStr">
        <is>
          <t>HIGH</t>
        </is>
      </c>
      <c r="N300" s="2" t="inlineStr">
        <is>
          <t>READY</t>
        </is>
      </c>
      <c r="O300" s="3" t="inlineStr"/>
      <c r="P300" s="3" t="inlineStr"/>
      <c r="Q300" s="3" t="inlineStr"/>
      <c r="R300" s="3" t="inlineStr"/>
    </row>
    <row r="301" ht="20" customHeight="1">
      <c r="A301" s="4" t="inlineStr">
        <is>
          <t>ST300</t>
        </is>
      </c>
      <c r="B301" s="5" t="inlineStr">
        <is>
          <t>Does 74.5% Attendance Round Up to 75% in Indian Universities?</t>
        </is>
      </c>
      <c r="C301" s="4" t="inlineStr">
        <is>
          <t>Student</t>
        </is>
      </c>
      <c r="D301" s="5" t="inlineStr">
        <is>
          <t>Attendance</t>
        </is>
      </c>
      <c r="E301" s="4" t="inlineStr">
        <is>
          <t>Planning Guide</t>
        </is>
      </c>
      <c r="F301" s="4" t="inlineStr">
        <is>
          <t>Planning</t>
        </is>
      </c>
      <c r="G301" s="5" t="inlineStr">
        <is>
          <t>attendance from 74.5 to 75</t>
        </is>
      </c>
      <c r="H301" s="5" t="inlineStr">
        <is>
          <t>attendance recovery, reach 75 attendance, bunk calculator 74.5 percent</t>
        </is>
      </c>
      <c r="I301" s="5" t="inlineStr">
        <is>
          <t>Attendance Calculator</t>
        </is>
      </c>
      <c r="J301" s="5" t="inlineStr">
        <is>
          <t>/student/attendance-calculator</t>
        </is>
      </c>
      <c r="K301" s="5" t="inlineStr">
        <is>
          <t>Provide exact mathematical step-by-step calculations for a student currently at 74.5% aiming for 75% (or maintaining 75%), explaining lecture requirements and safe absence limits.</t>
        </is>
      </c>
      <c r="L301" s="4" t="inlineStr">
        <is>
          <t>YES</t>
        </is>
      </c>
      <c r="M301" s="4" t="inlineStr">
        <is>
          <t>HIGH</t>
        </is>
      </c>
      <c r="N301" s="4" t="inlineStr">
        <is>
          <t>READY</t>
        </is>
      </c>
      <c r="O301" s="5" t="inlineStr"/>
      <c r="P301" s="5" t="inlineStr"/>
      <c r="Q301" s="5" t="inlineStr"/>
      <c r="R301" s="5" t="inlineStr"/>
    </row>
    <row r="302" ht="20" customHeight="1">
      <c r="A302" s="2" t="inlineStr">
        <is>
          <t>ST301</t>
        </is>
      </c>
      <c r="B302" s="3" t="inlineStr">
        <is>
          <t>Why Do Different Indian Universities Have Different CGPA to Percentage Formulas?</t>
        </is>
      </c>
      <c r="C302" s="2" t="inlineStr">
        <is>
          <t>Student</t>
        </is>
      </c>
      <c r="D302" s="3" t="inlineStr">
        <is>
          <t>CGPA</t>
        </is>
      </c>
      <c r="E302" s="2" t="inlineStr">
        <is>
          <t>Explanation</t>
        </is>
      </c>
      <c r="F302" s="2" t="inlineStr">
        <is>
          <t>Educational</t>
        </is>
      </c>
      <c r="G302" s="3" t="inlineStr">
        <is>
          <t>why cgpa conversion formula is different</t>
        </is>
      </c>
      <c r="H302" s="3" t="inlineStr">
        <is>
          <t>cgpa to percentage university variation, 9.5 vs 10 multiplier cgpa, aicte conversion rule</t>
        </is>
      </c>
      <c r="I302" s="3" t="inlineStr">
        <is>
          <t>CGPA to Percentage Calculator</t>
        </is>
      </c>
      <c r="J302" s="3" t="inlineStr">
        <is>
          <t>/student/cgpa-to-percentage</t>
        </is>
      </c>
      <c r="K302" s="3" t="inlineStr">
        <is>
          <t>Explain historical grading curves: why CBSE introduced 9.5x based on 5-year sample distributions, while engineering institutes use (CGPA - 0.75) * 10 or 10x.</t>
        </is>
      </c>
      <c r="L302" s="2" t="inlineStr">
        <is>
          <t>YES</t>
        </is>
      </c>
      <c r="M302" s="2" t="inlineStr">
        <is>
          <t>HIGH</t>
        </is>
      </c>
      <c r="N302" s="2" t="inlineStr">
        <is>
          <t>READY</t>
        </is>
      </c>
      <c r="O302" s="3" t="inlineStr"/>
      <c r="P302" s="3" t="inlineStr"/>
      <c r="Q302" s="3" t="inlineStr"/>
      <c r="R302" s="3" t="inlineStr"/>
    </row>
    <row r="303" ht="20" customHeight="1">
      <c r="A303" s="4" t="inlineStr">
        <is>
          <t>ST302</t>
        </is>
      </c>
      <c r="B303" s="5" t="inlineStr">
        <is>
          <t>CBSE 10-Point Grading System: How the 9.5 Multiplication Factor Was Derived</t>
        </is>
      </c>
      <c r="C303" s="4" t="inlineStr">
        <is>
          <t>Student</t>
        </is>
      </c>
      <c r="D303" s="5" t="inlineStr">
        <is>
          <t>CGPA</t>
        </is>
      </c>
      <c r="E303" s="4" t="inlineStr">
        <is>
          <t>Explanation</t>
        </is>
      </c>
      <c r="F303" s="4" t="inlineStr">
        <is>
          <t>Educational</t>
        </is>
      </c>
      <c r="G303" s="5" t="inlineStr">
        <is>
          <t>why cbse multiply cgpa by 9.5</t>
        </is>
      </c>
      <c r="H303" s="5" t="inlineStr">
        <is>
          <t>cbse 9.5 multiplier derivation, cbse cgpa formula explained, class 10 cgpa conversion</t>
        </is>
      </c>
      <c r="I303" s="5" t="inlineStr">
        <is>
          <t>CGPA to Percentage Calculator</t>
        </is>
      </c>
      <c r="J303" s="5" t="inlineStr">
        <is>
          <t>/student/cgpa-to-percentage</t>
        </is>
      </c>
      <c r="K303" s="5" t="inlineStr">
        <is>
          <t>Detailed mathematical rationale of how CBSE calibrated the midpoint of grade marks (e.g. A1 91-100 midpoint 95 / 10 = 9.5) to maintain equivalency.</t>
        </is>
      </c>
      <c r="L303" s="4" t="inlineStr">
        <is>
          <t>YES</t>
        </is>
      </c>
      <c r="M303" s="4" t="inlineStr">
        <is>
          <t>HIGH</t>
        </is>
      </c>
      <c r="N303" s="4" t="inlineStr">
        <is>
          <t>READY</t>
        </is>
      </c>
      <c r="O303" s="5" t="inlineStr"/>
      <c r="P303" s="5" t="inlineStr"/>
      <c r="Q303" s="5" t="inlineStr"/>
      <c r="R303" s="5" t="inlineStr"/>
    </row>
    <row r="304" ht="20" customHeight="1">
      <c r="A304" s="2" t="inlineStr">
        <is>
          <t>ST303</t>
        </is>
      </c>
      <c r="B304" s="3" t="inlineStr">
        <is>
          <t>AICTE Official Formula for Converting CGPA to Percentage in Engineering Colleges</t>
        </is>
      </c>
      <c r="C304" s="2" t="inlineStr">
        <is>
          <t>Student</t>
        </is>
      </c>
      <c r="D304" s="3" t="inlineStr">
        <is>
          <t>CGPA</t>
        </is>
      </c>
      <c r="E304" s="2" t="inlineStr">
        <is>
          <t>Formula Guide</t>
        </is>
      </c>
      <c r="F304" s="2" t="inlineStr">
        <is>
          <t>Reference</t>
        </is>
      </c>
      <c r="G304" s="3" t="inlineStr">
        <is>
          <t>aicte cgpa to percentage formula</t>
        </is>
      </c>
      <c r="H304" s="3" t="inlineStr">
        <is>
          <t>aicte conversion formula, btech cgpa to percentage aicte, aicte guidelines cgpa</t>
        </is>
      </c>
      <c r="I304" s="3" t="inlineStr">
        <is>
          <t>CGPA to Percentage Calculator</t>
        </is>
      </c>
      <c r="J304" s="3" t="inlineStr">
        <is>
          <t>/student/cgpa-to-percentage</t>
        </is>
      </c>
      <c r="K304" s="3" t="inlineStr">
        <is>
          <t>Detail AICTE official formula: Percentage = (CGPA - 0.75) * 10. Explain where it applies, exceptions in autonomous colleges, and job application relevance.</t>
        </is>
      </c>
      <c r="L304" s="2" t="inlineStr">
        <is>
          <t>YES</t>
        </is>
      </c>
      <c r="M304" s="2" t="inlineStr">
        <is>
          <t>HIGH</t>
        </is>
      </c>
      <c r="N304" s="2" t="inlineStr">
        <is>
          <t>READY</t>
        </is>
      </c>
      <c r="O304" s="3" t="inlineStr"/>
      <c r="P304" s="3" t="inlineStr"/>
      <c r="Q304" s="3" t="inlineStr"/>
      <c r="R304" s="3" t="inlineStr"/>
    </row>
    <row r="305" ht="20" customHeight="1">
      <c r="A305" s="4" t="inlineStr">
        <is>
          <t>ST304</t>
        </is>
      </c>
      <c r="B305" s="5" t="inlineStr">
        <is>
          <t>VTU (Visvesvaraya Technological University) CGPA to Percentage Formula Explained</t>
        </is>
      </c>
      <c r="C305" s="4" t="inlineStr">
        <is>
          <t>Student</t>
        </is>
      </c>
      <c r="D305" s="5" t="inlineStr">
        <is>
          <t>CGPA</t>
        </is>
      </c>
      <c r="E305" s="4" t="inlineStr">
        <is>
          <t>Formula Guide</t>
        </is>
      </c>
      <c r="F305" s="4" t="inlineStr">
        <is>
          <t>Reference</t>
        </is>
      </c>
      <c r="G305" s="5" t="inlineStr">
        <is>
          <t>vtu cgpa to percentage formula</t>
        </is>
      </c>
      <c r="H305" s="5" t="inlineStr">
        <is>
          <t>vtu percentage conversion, vtu marks card conversion, vtu engineering cgpa formula</t>
        </is>
      </c>
      <c r="I305" s="5" t="inlineStr">
        <is>
          <t>CGPA to Percentage Calculator</t>
        </is>
      </c>
      <c r="J305" s="5" t="inlineStr">
        <is>
          <t>/student/cgpa-to-percentage</t>
        </is>
      </c>
      <c r="K305" s="5" t="inlineStr">
        <is>
          <t>Explain VTU official formula: Percentage = (CGPA - 0.75) * 10, highlighting semester marks card back-page instructions and official university circulars.</t>
        </is>
      </c>
      <c r="L305" s="4" t="inlineStr">
        <is>
          <t>YES</t>
        </is>
      </c>
      <c r="M305" s="4" t="inlineStr">
        <is>
          <t>HIGH</t>
        </is>
      </c>
      <c r="N305" s="4" t="inlineStr">
        <is>
          <t>READY</t>
        </is>
      </c>
      <c r="O305" s="5" t="inlineStr"/>
      <c r="P305" s="5" t="inlineStr"/>
      <c r="Q305" s="5" t="inlineStr"/>
      <c r="R305" s="5" t="inlineStr"/>
    </row>
    <row r="306" ht="20" customHeight="1">
      <c r="A306" s="2" t="inlineStr">
        <is>
          <t>ST305</t>
        </is>
      </c>
      <c r="B306" s="3" t="inlineStr">
        <is>
          <t>Mumbai University CGPA to Percentage Conversion Formula (7-Point vs 10-Point)</t>
        </is>
      </c>
      <c r="C306" s="2" t="inlineStr">
        <is>
          <t>Student</t>
        </is>
      </c>
      <c r="D306" s="3" t="inlineStr">
        <is>
          <t>CGPA</t>
        </is>
      </c>
      <c r="E306" s="2" t="inlineStr">
        <is>
          <t>Formula Guide</t>
        </is>
      </c>
      <c r="F306" s="2" t="inlineStr">
        <is>
          <t>Reference</t>
        </is>
      </c>
      <c r="G306" s="3" t="inlineStr">
        <is>
          <t>mumbai university cgpa to percentage</t>
        </is>
      </c>
      <c r="H306" s="3" t="inlineStr">
        <is>
          <t>mu cgpa to percentage formula, mumbai university grading system, engineering mu cgpa conversion</t>
        </is>
      </c>
      <c r="I306" s="3" t="inlineStr">
        <is>
          <t>CGPA to Percentage Calculator</t>
        </is>
      </c>
      <c r="J306" s="3" t="inlineStr">
        <is>
          <t>/student/cgpa-to-percentage</t>
        </is>
      </c>
      <c r="K306" s="3" t="inlineStr">
        <is>
          <t>Detail Mumbai University formulas for CBCS 10-point scale: Percentage = 7.1 * CGPA + 11 (if CGPA &lt; 7) vs 7.4 * CGPA + 12 (if CGPA &gt;= 7), with worked examples.</t>
        </is>
      </c>
      <c r="L306" s="2" t="inlineStr">
        <is>
          <t>YES</t>
        </is>
      </c>
      <c r="M306" s="2" t="inlineStr">
        <is>
          <t>HIGH</t>
        </is>
      </c>
      <c r="N306" s="2" t="inlineStr">
        <is>
          <t>READY</t>
        </is>
      </c>
      <c r="O306" s="3" t="inlineStr"/>
      <c r="P306" s="3" t="inlineStr"/>
      <c r="Q306" s="3" t="inlineStr"/>
      <c r="R306" s="3" t="inlineStr"/>
    </row>
    <row r="307" ht="20" customHeight="1">
      <c r="A307" s="4" t="inlineStr">
        <is>
          <t>ST306</t>
        </is>
      </c>
      <c r="B307" s="5" t="inlineStr">
        <is>
          <t>Anna University CGPA to Percentage Conversion Formula for Regulation 2017 and 2021</t>
        </is>
      </c>
      <c r="C307" s="4" t="inlineStr">
        <is>
          <t>Student</t>
        </is>
      </c>
      <c r="D307" s="5" t="inlineStr">
        <is>
          <t>CGPA</t>
        </is>
      </c>
      <c r="E307" s="4" t="inlineStr">
        <is>
          <t>Formula Guide</t>
        </is>
      </c>
      <c r="F307" s="4" t="inlineStr">
        <is>
          <t>Reference</t>
        </is>
      </c>
      <c r="G307" s="5" t="inlineStr">
        <is>
          <t>anna university cgpa to percentage</t>
        </is>
      </c>
      <c r="H307" s="5" t="inlineStr">
        <is>
          <t>anna university percentage formula, regulation 2017 cgpa to percentage, anna university multiplier</t>
        </is>
      </c>
      <c r="I307" s="5" t="inlineStr">
        <is>
          <t>CGPA to Percentage Calculator</t>
        </is>
      </c>
      <c r="J307" s="5" t="inlineStr">
        <is>
          <t>/student/cgpa-to-percentage</t>
        </is>
      </c>
      <c r="K307" s="5" t="inlineStr">
        <is>
          <t>Clarify Anna University official standard: Percentage = CGPA * 10, comparing Regulation 2017 and 2021 circulars for campus placements and government exams.</t>
        </is>
      </c>
      <c r="L307" s="4" t="inlineStr">
        <is>
          <t>YES</t>
        </is>
      </c>
      <c r="M307" s="4" t="inlineStr">
        <is>
          <t>HIGH</t>
        </is>
      </c>
      <c r="N307" s="4" t="inlineStr">
        <is>
          <t>READY</t>
        </is>
      </c>
      <c r="O307" s="5" t="inlineStr"/>
      <c r="P307" s="5" t="inlineStr"/>
      <c r="Q307" s="5" t="inlineStr"/>
      <c r="R307" s="5" t="inlineStr"/>
    </row>
    <row r="308" ht="20" customHeight="1">
      <c r="A308" s="2" t="inlineStr">
        <is>
          <t>ST307</t>
        </is>
      </c>
      <c r="B308" s="3" t="inlineStr">
        <is>
          <t>KTU (APJ Abdul Kalam Technological University) CGPA to Percentage Conversion</t>
        </is>
      </c>
      <c r="C308" s="2" t="inlineStr">
        <is>
          <t>Student</t>
        </is>
      </c>
      <c r="D308" s="3" t="inlineStr">
        <is>
          <t>CGPA</t>
        </is>
      </c>
      <c r="E308" s="2" t="inlineStr">
        <is>
          <t>Formula Guide</t>
        </is>
      </c>
      <c r="F308" s="2" t="inlineStr">
        <is>
          <t>Reference</t>
        </is>
      </c>
      <c r="G308" s="3" t="inlineStr">
        <is>
          <t>ktu cgpa to percentage formula</t>
        </is>
      </c>
      <c r="H308" s="3" t="inlineStr">
        <is>
          <t>ktu percentage calculator, kerala technological university cgpa conversion, ktu btech percentage</t>
        </is>
      </c>
      <c r="I308" s="3" t="inlineStr">
        <is>
          <t>CGPA to Percentage Calculator</t>
        </is>
      </c>
      <c r="J308" s="3" t="inlineStr">
        <is>
          <t>/student/cgpa-to-percentage</t>
        </is>
      </c>
      <c r="K308" s="3" t="inlineStr">
        <is>
          <t>Explain KTU formula: Percentage = 10 * CGPA - 3.75 (or CGPA * 10 based on scheme circulars), showing worked calculations for engineering students.</t>
        </is>
      </c>
      <c r="L308" s="2" t="inlineStr">
        <is>
          <t>YES</t>
        </is>
      </c>
      <c r="M308" s="2" t="inlineStr">
        <is>
          <t>HIGH</t>
        </is>
      </c>
      <c r="N308" s="2" t="inlineStr">
        <is>
          <t>READY</t>
        </is>
      </c>
      <c r="O308" s="3" t="inlineStr"/>
      <c r="P308" s="3" t="inlineStr"/>
      <c r="Q308" s="3" t="inlineStr"/>
      <c r="R308" s="3" t="inlineStr"/>
    </row>
    <row r="309" ht="20" customHeight="1">
      <c r="A309" s="4" t="inlineStr">
        <is>
          <t>ST308</t>
        </is>
      </c>
      <c r="B309" s="5" t="inlineStr">
        <is>
          <t>JNTU (Hyderabad, Kakinada, Anantapur) CGPA to Percentage Conversion Rules</t>
        </is>
      </c>
      <c r="C309" s="4" t="inlineStr">
        <is>
          <t>Student</t>
        </is>
      </c>
      <c r="D309" s="5" t="inlineStr">
        <is>
          <t>CGPA</t>
        </is>
      </c>
      <c r="E309" s="4" t="inlineStr">
        <is>
          <t>Formula Guide</t>
        </is>
      </c>
      <c r="F309" s="4" t="inlineStr">
        <is>
          <t>Reference</t>
        </is>
      </c>
      <c r="G309" s="5" t="inlineStr">
        <is>
          <t>jntu cgpa to percentage formula</t>
        </is>
      </c>
      <c r="H309" s="5" t="inlineStr">
        <is>
          <t>jntuh percentage conversion, jntuk cgpa to percentage, jntu grading scale</t>
        </is>
      </c>
      <c r="I309" s="5" t="inlineStr">
        <is>
          <t>CGPA to Percentage Calculator</t>
        </is>
      </c>
      <c r="J309" s="5" t="inlineStr">
        <is>
          <t>/student/cgpa-to-percentage</t>
        </is>
      </c>
      <c r="K309" s="5" t="inlineStr">
        <is>
          <t>Detail JNTU guidelines: Percentage = (CGPA - 0.5) * 10 (or direct 10x depending on regulation R18/R22), helping engineering graduates calculate aggregate percentage.</t>
        </is>
      </c>
      <c r="L309" s="4" t="inlineStr">
        <is>
          <t>YES</t>
        </is>
      </c>
      <c r="M309" s="4" t="inlineStr">
        <is>
          <t>HIGH</t>
        </is>
      </c>
      <c r="N309" s="4" t="inlineStr">
        <is>
          <t>READY</t>
        </is>
      </c>
      <c r="O309" s="5" t="inlineStr"/>
      <c r="P309" s="5" t="inlineStr"/>
      <c r="Q309" s="5" t="inlineStr"/>
      <c r="R309" s="5" t="inlineStr"/>
    </row>
    <row r="310" ht="20" customHeight="1">
      <c r="A310" s="2" t="inlineStr">
        <is>
          <t>ST309</t>
        </is>
      </c>
      <c r="B310" s="3" t="inlineStr">
        <is>
          <t>SPPU (Pune University) CGPA to Percentage Conversion Formula for Engineering</t>
        </is>
      </c>
      <c r="C310" s="2" t="inlineStr">
        <is>
          <t>Student</t>
        </is>
      </c>
      <c r="D310" s="3" t="inlineStr">
        <is>
          <t>CGPA</t>
        </is>
      </c>
      <c r="E310" s="2" t="inlineStr">
        <is>
          <t>Formula Guide</t>
        </is>
      </c>
      <c r="F310" s="2" t="inlineStr">
        <is>
          <t>Reference</t>
        </is>
      </c>
      <c r="G310" s="3" t="inlineStr">
        <is>
          <t>sppu cgpa to percentage formula</t>
        </is>
      </c>
      <c r="H310" s="3" t="inlineStr">
        <is>
          <t>pune university percentage calculation, sppu engineering marks card, sppu cgpa conversion</t>
        </is>
      </c>
      <c r="I310" s="3" t="inlineStr">
        <is>
          <t>CGPA to Percentage Calculator</t>
        </is>
      </c>
      <c r="J310" s="3" t="inlineStr">
        <is>
          <t>/student/cgpa-to-percentage</t>
        </is>
      </c>
      <c r="K310" s="3" t="inlineStr">
        <is>
          <t>Detail SPPU revised conversion table and linear interpolation formulas across various CGPA ranges, with step-by-step example conversions.</t>
        </is>
      </c>
      <c r="L310" s="2" t="inlineStr">
        <is>
          <t>YES</t>
        </is>
      </c>
      <c r="M310" s="2" t="inlineStr">
        <is>
          <t>HIGH</t>
        </is>
      </c>
      <c r="N310" s="2" t="inlineStr">
        <is>
          <t>READY</t>
        </is>
      </c>
      <c r="O310" s="3" t="inlineStr"/>
      <c r="P310" s="3" t="inlineStr"/>
      <c r="Q310" s="3" t="inlineStr"/>
      <c r="R310" s="3" t="inlineStr"/>
    </row>
    <row r="311" ht="20" customHeight="1">
      <c r="A311" s="4" t="inlineStr">
        <is>
          <t>ST310</t>
        </is>
      </c>
      <c r="B311" s="5" t="inlineStr">
        <is>
          <t>AKTU (Abdul Kalam Technical University) CGPA to Percentage Conversion Formula</t>
        </is>
      </c>
      <c r="C311" s="4" t="inlineStr">
        <is>
          <t>Student</t>
        </is>
      </c>
      <c r="D311" s="5" t="inlineStr">
        <is>
          <t>CGPA</t>
        </is>
      </c>
      <c r="E311" s="4" t="inlineStr">
        <is>
          <t>Formula Guide</t>
        </is>
      </c>
      <c r="F311" s="4" t="inlineStr">
        <is>
          <t>Reference</t>
        </is>
      </c>
      <c r="G311" s="5" t="inlineStr">
        <is>
          <t>aktu cgpa to percentage formula</t>
        </is>
      </c>
      <c r="H311" s="5" t="inlineStr">
        <is>
          <t>aktu percentage calculator, uptu cgpa conversion, aktu btech percentage formula</t>
        </is>
      </c>
      <c r="I311" s="5" t="inlineStr">
        <is>
          <t>CGPA to Percentage Calculator</t>
        </is>
      </c>
      <c r="J311" s="5" t="inlineStr">
        <is>
          <t>/student/cgpa-to-percentage</t>
        </is>
      </c>
      <c r="K311" s="5" t="inlineStr">
        <is>
          <t>Explain AKTU circular: Percentage = CGPA * 10, clarifying transcript requirements for UPSC, GATE, and IT corporate recruitments.</t>
        </is>
      </c>
      <c r="L311" s="4" t="inlineStr">
        <is>
          <t>YES</t>
        </is>
      </c>
      <c r="M311" s="4" t="inlineStr">
        <is>
          <t>HIGH</t>
        </is>
      </c>
      <c r="N311" s="4" t="inlineStr">
        <is>
          <t>READY</t>
        </is>
      </c>
      <c r="O311" s="5" t="inlineStr"/>
      <c r="P311" s="5" t="inlineStr"/>
      <c r="Q311" s="5" t="inlineStr"/>
      <c r="R311" s="5" t="inlineStr"/>
    </row>
    <row r="312" ht="20" customHeight="1">
      <c r="A312" s="2" t="inlineStr">
        <is>
          <t>ST311</t>
        </is>
      </c>
      <c r="B312" s="3" t="inlineStr">
        <is>
          <t>How to Convert Percentage Back to CGPA: Limitations and Reverse Approximations</t>
        </is>
      </c>
      <c r="C312" s="2" t="inlineStr">
        <is>
          <t>Student</t>
        </is>
      </c>
      <c r="D312" s="3" t="inlineStr">
        <is>
          <t>CGPA</t>
        </is>
      </c>
      <c r="E312" s="2" t="inlineStr">
        <is>
          <t>How-To</t>
        </is>
      </c>
      <c r="F312" s="2" t="inlineStr">
        <is>
          <t>How-To</t>
        </is>
      </c>
      <c r="G312" s="3" t="inlineStr">
        <is>
          <t>how to convert percentage to cgpa</t>
        </is>
      </c>
      <c r="H312" s="3" t="inlineStr">
        <is>
          <t>reverse cgpa conversion, percentage to 10 point cgpa, can you convert percent to cgpa accurately</t>
        </is>
      </c>
      <c r="I312" s="3" t="inlineStr">
        <is>
          <t>CGPA to Percentage Calculator</t>
        </is>
      </c>
      <c r="J312" s="3" t="inlineStr">
        <is>
          <t>/student/cgpa-to-percentage</t>
        </is>
      </c>
      <c r="K312" s="3" t="inlineStr">
        <is>
          <t>Explain why reverse conversion is mathematically lossy due to grade band intervals, and provide institutional approximation methods.</t>
        </is>
      </c>
      <c r="L312" s="2" t="inlineStr">
        <is>
          <t>YES</t>
        </is>
      </c>
      <c r="M312" s="2" t="inlineStr">
        <is>
          <t>HIGH</t>
        </is>
      </c>
      <c r="N312" s="2" t="inlineStr">
        <is>
          <t>READY</t>
        </is>
      </c>
      <c r="O312" s="3" t="inlineStr"/>
      <c r="P312" s="3" t="inlineStr"/>
      <c r="Q312" s="3" t="inlineStr"/>
      <c r="R312" s="3" t="inlineStr"/>
    </row>
    <row r="313" ht="20" customHeight="1">
      <c r="A313" s="4" t="inlineStr">
        <is>
          <t>ST312</t>
        </is>
      </c>
      <c r="B313" s="5" t="inlineStr">
        <is>
          <t>CGPA vs SGPA vs OGPA: Understanding the Key Academic Differences</t>
        </is>
      </c>
      <c r="C313" s="4" t="inlineStr">
        <is>
          <t>Student</t>
        </is>
      </c>
      <c r="D313" s="5" t="inlineStr">
        <is>
          <t>CGPA</t>
        </is>
      </c>
      <c r="E313" s="4" t="inlineStr">
        <is>
          <t>Comparison</t>
        </is>
      </c>
      <c r="F313" s="4" t="inlineStr">
        <is>
          <t>Educational</t>
        </is>
      </c>
      <c r="G313" s="5" t="inlineStr">
        <is>
          <t>difference between cgpa sgpa and ogpa</t>
        </is>
      </c>
      <c r="H313" s="5" t="inlineStr">
        <is>
          <t>sgpa vs cgpa, ogpa meaning in agriculture university, semester vs cumulative grade</t>
        </is>
      </c>
      <c r="I313" s="5" t="inlineStr">
        <is>
          <t>CGPA to Percentage Calculator</t>
        </is>
      </c>
      <c r="J313" s="5" t="inlineStr">
        <is>
          <t>/student/cgpa-to-percentage</t>
        </is>
      </c>
      <c r="K313" s="5" t="inlineStr">
        <is>
          <t>Clear definitions: SGPA (single semester), CGPA (cumulative across semesters), and OGPA (Overall Grade Point Average in Agricultural/Veterinary universities).</t>
        </is>
      </c>
      <c r="L313" s="4" t="inlineStr">
        <is>
          <t>YES</t>
        </is>
      </c>
      <c r="M313" s="4" t="inlineStr">
        <is>
          <t>HIGH</t>
        </is>
      </c>
      <c r="N313" s="4" t="inlineStr">
        <is>
          <t>READY</t>
        </is>
      </c>
      <c r="O313" s="5" t="inlineStr"/>
      <c r="P313" s="5" t="inlineStr"/>
      <c r="Q313" s="5" t="inlineStr"/>
      <c r="R313" s="5" t="inlineStr"/>
    </row>
    <row r="314" ht="20" customHeight="1">
      <c r="A314" s="2" t="inlineStr">
        <is>
          <t>ST313</t>
        </is>
      </c>
      <c r="B314" s="3" t="inlineStr">
        <is>
          <t>How to Convert 10-Point Indian CGPA to 4-Point US GPA for Study Abroad (WES Evaluation)</t>
        </is>
      </c>
      <c r="C314" s="2" t="inlineStr">
        <is>
          <t>Student</t>
        </is>
      </c>
      <c r="D314" s="3" t="inlineStr">
        <is>
          <t>CGPA</t>
        </is>
      </c>
      <c r="E314" s="2" t="inlineStr">
        <is>
          <t>Guide</t>
        </is>
      </c>
      <c r="F314" s="2" t="inlineStr">
        <is>
          <t>How-To</t>
        </is>
      </c>
      <c r="G314" s="3" t="inlineStr">
        <is>
          <t>how to convert 10 point cgpa to 4 point gpa</t>
        </is>
      </c>
      <c r="H314" s="3" t="inlineStr">
        <is>
          <t>wes evaluation cgpa conversion, indian cgpa to us gpa, 4 point scale conversion</t>
        </is>
      </c>
      <c r="I314" s="3" t="inlineStr">
        <is>
          <t>GPA Calculator</t>
        </is>
      </c>
      <c r="J314" s="3" t="inlineStr">
        <is>
          <t>/student/gpa-calculator</t>
        </is>
      </c>
      <c r="K314" s="3" t="inlineStr">
        <is>
          <t>Demystify the non-linear conversion: why Indian 8.0/10 is NOT 3.2/4.0, and how credential evaluation agencies like WES evaluate Indian marks.</t>
        </is>
      </c>
      <c r="L314" s="2" t="inlineStr">
        <is>
          <t>YES</t>
        </is>
      </c>
      <c r="M314" s="2" t="inlineStr">
        <is>
          <t>HIGH</t>
        </is>
      </c>
      <c r="N314" s="2" t="inlineStr">
        <is>
          <t>READY</t>
        </is>
      </c>
      <c r="O314" s="3" t="inlineStr"/>
      <c r="P314" s="3" t="inlineStr"/>
      <c r="Q314" s="3" t="inlineStr"/>
      <c r="R314" s="3" t="inlineStr"/>
    </row>
    <row r="315" ht="20" customHeight="1">
      <c r="A315" s="4" t="inlineStr">
        <is>
          <t>ST314</t>
        </is>
      </c>
      <c r="B315" s="5" t="inlineStr">
        <is>
          <t>Is 7.5 CGPA in Engineering Good Enough for Top MNC Placements?</t>
        </is>
      </c>
      <c r="C315" s="4" t="inlineStr">
        <is>
          <t>Student</t>
        </is>
      </c>
      <c r="D315" s="5" t="inlineStr">
        <is>
          <t>CGPA</t>
        </is>
      </c>
      <c r="E315" s="4" t="inlineStr">
        <is>
          <t>Guide</t>
        </is>
      </c>
      <c r="F315" s="4" t="inlineStr">
        <is>
          <t>Informational</t>
        </is>
      </c>
      <c r="G315" s="5" t="inlineStr">
        <is>
          <t>is 7.5 cgpa good in engineering</t>
        </is>
      </c>
      <c r="H315" s="5" t="inlineStr">
        <is>
          <t>placement eligibility cgpa, tcs infosys cgpa cutoff, product company cgpa criteria</t>
        </is>
      </c>
      <c r="I315" s="5" t="inlineStr">
        <is>
          <t>CGPA to Percentage Calculator</t>
        </is>
      </c>
      <c r="J315" s="5" t="inlineStr">
        <is>
          <t>/student/cgpa-to-percentage</t>
        </is>
      </c>
      <c r="K315" s="5" t="inlineStr">
        <is>
          <t>Evaluate corporate placement cutoffs: service companies (typically 6.0 or 6.5) vs top product/fintech firms (typically 7.5 to 8.5) and percentage equivalents.</t>
        </is>
      </c>
      <c r="L315" s="4" t="inlineStr">
        <is>
          <t>YES</t>
        </is>
      </c>
      <c r="M315" s="4" t="inlineStr">
        <is>
          <t>HIGH</t>
        </is>
      </c>
      <c r="N315" s="4" t="inlineStr">
        <is>
          <t>READY</t>
        </is>
      </c>
      <c r="O315" s="5" t="inlineStr"/>
      <c r="P315" s="5" t="inlineStr"/>
      <c r="Q315" s="5" t="inlineStr"/>
      <c r="R315" s="5" t="inlineStr"/>
    </row>
    <row r="316" ht="20" customHeight="1">
      <c r="A316" s="2" t="inlineStr">
        <is>
          <t>ST315</t>
        </is>
      </c>
      <c r="B316" s="3" t="inlineStr">
        <is>
          <t>Can You Convert Subject Grade Points to Percentage Individually?</t>
        </is>
      </c>
      <c r="C316" s="2" t="inlineStr">
        <is>
          <t>Student</t>
        </is>
      </c>
      <c r="D316" s="3" t="inlineStr">
        <is>
          <t>CGPA</t>
        </is>
      </c>
      <c r="E316" s="2" t="inlineStr">
        <is>
          <t>Explanation</t>
        </is>
      </c>
      <c r="F316" s="2" t="inlineStr">
        <is>
          <t>Educational</t>
        </is>
      </c>
      <c r="G316" s="3" t="inlineStr">
        <is>
          <t>how to convert subject grade to percentage</t>
        </is>
      </c>
      <c r="H316" s="3" t="inlineStr">
        <is>
          <t>subject grade point to percentage cbse, individual subject marks from grade, grade point conversion</t>
        </is>
      </c>
      <c r="I316" s="3" t="inlineStr">
        <is>
          <t>CGPA to Percentage Calculator</t>
        </is>
      </c>
      <c r="J316" s="3" t="inlineStr">
        <is>
          <t>/student/cgpa-to-percentage</t>
        </is>
      </c>
      <c r="K316" s="3" t="inlineStr">
        <is>
          <t>Explain how CBSE and university rules apply grade point multipliers at the individual subject level (e.g., GP * 9.5) and its relation to total aggregate score.</t>
        </is>
      </c>
      <c r="L316" s="2" t="inlineStr">
        <is>
          <t>YES</t>
        </is>
      </c>
      <c r="M316" s="2" t="inlineStr">
        <is>
          <t>MEDIUM</t>
        </is>
      </c>
      <c r="N316" s="2" t="inlineStr">
        <is>
          <t>READY</t>
        </is>
      </c>
      <c r="O316" s="3" t="inlineStr"/>
      <c r="P316" s="3" t="inlineStr"/>
      <c r="Q316" s="3" t="inlineStr"/>
      <c r="R316" s="3" t="inlineStr"/>
    </row>
    <row r="317" ht="20" customHeight="1">
      <c r="A317" s="4" t="inlineStr">
        <is>
          <t>ST316</t>
        </is>
      </c>
      <c r="B317" s="5" t="inlineStr">
        <is>
          <t>6.0 CGPA to Percentage: University Formulas, First Class Criteria, and Eligibility</t>
        </is>
      </c>
      <c r="C317" s="4" t="inlineStr">
        <is>
          <t>Student</t>
        </is>
      </c>
      <c r="D317" s="5" t="inlineStr">
        <is>
          <t>CGPA</t>
        </is>
      </c>
      <c r="E317" s="4" t="inlineStr">
        <is>
          <t>Explanation</t>
        </is>
      </c>
      <c r="F317" s="4" t="inlineStr">
        <is>
          <t>Educational</t>
        </is>
      </c>
      <c r="G317" s="5" t="inlineStr">
        <is>
          <t>6.0 cgpa to percentage</t>
        </is>
      </c>
      <c r="H317" s="5" t="inlineStr">
        <is>
          <t>convert 6.0 cgpa to percentage, 6.0 cgpa in percent, 6.0 cgpa marks</t>
        </is>
      </c>
      <c r="I317" s="5" t="inlineStr">
        <is>
          <t>CGPA to Percentage Calculator</t>
        </is>
      </c>
      <c r="J317" s="5" t="inlineStr">
        <is>
          <t>/student/cgpa-to-percentage</t>
        </is>
      </c>
      <c r="K317" s="5" t="inlineStr">
        <is>
          <t>Explain how 6.0 CGPA converts to percentage under CBSE (9.5x), AICTE ((CGPA-0.75)*10), VTU, Mumbai University, and standard 10x systems, providing exact percentage outputs.</t>
        </is>
      </c>
      <c r="L317" s="4" t="inlineStr">
        <is>
          <t>YES</t>
        </is>
      </c>
      <c r="M317" s="4" t="inlineStr">
        <is>
          <t>HIGH</t>
        </is>
      </c>
      <c r="N317" s="4" t="inlineStr">
        <is>
          <t>READY</t>
        </is>
      </c>
      <c r="O317" s="5" t="inlineStr"/>
      <c r="P317" s="5" t="inlineStr"/>
      <c r="Q317" s="5" t="inlineStr"/>
      <c r="R317" s="5" t="inlineStr"/>
    </row>
    <row r="318" ht="20" customHeight="1">
      <c r="A318" s="2" t="inlineStr">
        <is>
          <t>ST317</t>
        </is>
      </c>
      <c r="B318" s="3" t="inlineStr">
        <is>
          <t>6.2 CGPA to Percentage: Calculation Guide Across CBSE, AICTE, and Universities</t>
        </is>
      </c>
      <c r="C318" s="2" t="inlineStr">
        <is>
          <t>Student</t>
        </is>
      </c>
      <c r="D318" s="3" t="inlineStr">
        <is>
          <t>CGPA</t>
        </is>
      </c>
      <c r="E318" s="2" t="inlineStr">
        <is>
          <t>Explanation</t>
        </is>
      </c>
      <c r="F318" s="2" t="inlineStr">
        <is>
          <t>Educational</t>
        </is>
      </c>
      <c r="G318" s="3" t="inlineStr">
        <is>
          <t>6.2 cgpa to percentage</t>
        </is>
      </c>
      <c r="H318" s="3" t="inlineStr">
        <is>
          <t>convert 6.2 cgpa to percentage, 6.2 cgpa in percent, 6.2 cgpa marks</t>
        </is>
      </c>
      <c r="I318" s="3" t="inlineStr">
        <is>
          <t>CGPA to Percentage Calculator</t>
        </is>
      </c>
      <c r="J318" s="3" t="inlineStr">
        <is>
          <t>/student/cgpa-to-percentage</t>
        </is>
      </c>
      <c r="K318" s="3" t="inlineStr">
        <is>
          <t>Explain how 6.2 CGPA converts to percentage under CBSE (9.5x), AICTE ((CGPA-0.75)*10), VTU, Mumbai University, and standard 10x systems, providing exact percentage outputs.</t>
        </is>
      </c>
      <c r="L318" s="2" t="inlineStr">
        <is>
          <t>YES</t>
        </is>
      </c>
      <c r="M318" s="2" t="inlineStr">
        <is>
          <t>MEDIUM</t>
        </is>
      </c>
      <c r="N318" s="2" t="inlineStr">
        <is>
          <t>READY</t>
        </is>
      </c>
      <c r="O318" s="3" t="inlineStr"/>
      <c r="P318" s="3" t="inlineStr"/>
      <c r="Q318" s="3" t="inlineStr"/>
      <c r="R318" s="3" t="inlineStr"/>
    </row>
    <row r="319" ht="20" customHeight="1">
      <c r="A319" s="4" t="inlineStr">
        <is>
          <t>ST318</t>
        </is>
      </c>
      <c r="B319" s="5" t="inlineStr">
        <is>
          <t>6.5 CGPA to Percentage: Meeting Campus Placement Eligibility Thresholds</t>
        </is>
      </c>
      <c r="C319" s="4" t="inlineStr">
        <is>
          <t>Student</t>
        </is>
      </c>
      <c r="D319" s="5" t="inlineStr">
        <is>
          <t>CGPA</t>
        </is>
      </c>
      <c r="E319" s="4" t="inlineStr">
        <is>
          <t>Explanation</t>
        </is>
      </c>
      <c r="F319" s="4" t="inlineStr">
        <is>
          <t>Educational</t>
        </is>
      </c>
      <c r="G319" s="5" t="inlineStr">
        <is>
          <t>6.5 cgpa to percentage</t>
        </is>
      </c>
      <c r="H319" s="5" t="inlineStr">
        <is>
          <t>convert 6.5 cgpa to percentage, 6.5 cgpa in percent, 6.5 cgpa marks</t>
        </is>
      </c>
      <c r="I319" s="5" t="inlineStr">
        <is>
          <t>CGPA to Percentage Calculator</t>
        </is>
      </c>
      <c r="J319" s="5" t="inlineStr">
        <is>
          <t>/student/cgpa-to-percentage</t>
        </is>
      </c>
      <c r="K319" s="5" t="inlineStr">
        <is>
          <t>Explain how 6.5 CGPA converts to percentage under CBSE (9.5x), AICTE ((CGPA-0.75)*10), VTU, Mumbai University, and standard 10x systems, providing exact percentage outputs.</t>
        </is>
      </c>
      <c r="L319" s="4" t="inlineStr">
        <is>
          <t>YES</t>
        </is>
      </c>
      <c r="M319" s="4" t="inlineStr">
        <is>
          <t>HIGH</t>
        </is>
      </c>
      <c r="N319" s="4" t="inlineStr">
        <is>
          <t>READY</t>
        </is>
      </c>
      <c r="O319" s="5" t="inlineStr"/>
      <c r="P319" s="5" t="inlineStr"/>
      <c r="Q319" s="5" t="inlineStr"/>
      <c r="R319" s="5" t="inlineStr"/>
    </row>
    <row r="320" ht="20" customHeight="1">
      <c r="A320" s="2" t="inlineStr">
        <is>
          <t>ST319</t>
        </is>
      </c>
      <c r="B320" s="3" t="inlineStr">
        <is>
          <t>6.8 CGPA to Percentage: Step-by-Step Conversion for Job Applications</t>
        </is>
      </c>
      <c r="C320" s="2" t="inlineStr">
        <is>
          <t>Student</t>
        </is>
      </c>
      <c r="D320" s="3" t="inlineStr">
        <is>
          <t>CGPA</t>
        </is>
      </c>
      <c r="E320" s="2" t="inlineStr">
        <is>
          <t>Explanation</t>
        </is>
      </c>
      <c r="F320" s="2" t="inlineStr">
        <is>
          <t>Educational</t>
        </is>
      </c>
      <c r="G320" s="3" t="inlineStr">
        <is>
          <t>6.8 cgpa to percentage</t>
        </is>
      </c>
      <c r="H320" s="3" t="inlineStr">
        <is>
          <t>convert 6.8 cgpa to percentage, 6.8 cgpa in percent, 6.8 cgpa marks</t>
        </is>
      </c>
      <c r="I320" s="3" t="inlineStr">
        <is>
          <t>CGPA to Percentage Calculator</t>
        </is>
      </c>
      <c r="J320" s="3" t="inlineStr">
        <is>
          <t>/student/cgpa-to-percentage</t>
        </is>
      </c>
      <c r="K320" s="3" t="inlineStr">
        <is>
          <t>Explain how 6.8 CGPA converts to percentage under CBSE (9.5x), AICTE ((CGPA-0.75)*10), VTU, Mumbai University, and standard 10x systems, providing exact percentage outputs.</t>
        </is>
      </c>
      <c r="L320" s="2" t="inlineStr">
        <is>
          <t>YES</t>
        </is>
      </c>
      <c r="M320" s="2" t="inlineStr">
        <is>
          <t>MEDIUM</t>
        </is>
      </c>
      <c r="N320" s="2" t="inlineStr">
        <is>
          <t>READY</t>
        </is>
      </c>
      <c r="O320" s="3" t="inlineStr"/>
      <c r="P320" s="3" t="inlineStr"/>
      <c r="Q320" s="3" t="inlineStr"/>
      <c r="R320" s="3" t="inlineStr"/>
    </row>
    <row r="321" ht="20" customHeight="1">
      <c r="A321" s="4" t="inlineStr">
        <is>
          <t>ST320</t>
        </is>
      </c>
      <c r="B321" s="5" t="inlineStr">
        <is>
          <t>7.0 CGPA to Percentage: Conversion Across Major Indian Universities and AICTE</t>
        </is>
      </c>
      <c r="C321" s="4" t="inlineStr">
        <is>
          <t>Student</t>
        </is>
      </c>
      <c r="D321" s="5" t="inlineStr">
        <is>
          <t>CGPA</t>
        </is>
      </c>
      <c r="E321" s="4" t="inlineStr">
        <is>
          <t>Explanation</t>
        </is>
      </c>
      <c r="F321" s="4" t="inlineStr">
        <is>
          <t>Educational</t>
        </is>
      </c>
      <c r="G321" s="5" t="inlineStr">
        <is>
          <t>7.0 cgpa to percentage</t>
        </is>
      </c>
      <c r="H321" s="5" t="inlineStr">
        <is>
          <t>convert 7.0 cgpa to percentage, 7.0 cgpa in percent, 7.0 cgpa marks</t>
        </is>
      </c>
      <c r="I321" s="5" t="inlineStr">
        <is>
          <t>CGPA to Percentage Calculator</t>
        </is>
      </c>
      <c r="J321" s="5" t="inlineStr">
        <is>
          <t>/student/cgpa-to-percentage</t>
        </is>
      </c>
      <c r="K321" s="5" t="inlineStr">
        <is>
          <t>Explain how 7.0 CGPA converts to percentage under CBSE (9.5x), AICTE ((CGPA-0.75)*10), VTU, Mumbai University, and standard 10x systems, providing exact percentage outputs.</t>
        </is>
      </c>
      <c r="L321" s="4" t="inlineStr">
        <is>
          <t>YES</t>
        </is>
      </c>
      <c r="M321" s="4" t="inlineStr">
        <is>
          <t>HIGH</t>
        </is>
      </c>
      <c r="N321" s="4" t="inlineStr">
        <is>
          <t>READY</t>
        </is>
      </c>
      <c r="O321" s="5" t="inlineStr"/>
      <c r="P321" s="5" t="inlineStr"/>
      <c r="Q321" s="5" t="inlineStr"/>
      <c r="R321" s="5" t="inlineStr"/>
    </row>
    <row r="322" ht="20" customHeight="1">
      <c r="A322" s="2" t="inlineStr">
        <is>
          <t>ST321</t>
        </is>
      </c>
      <c r="B322" s="3" t="inlineStr">
        <is>
          <t>7.2 CGPA to Percentage: Converting Your Academic Score Accurately</t>
        </is>
      </c>
      <c r="C322" s="2" t="inlineStr">
        <is>
          <t>Student</t>
        </is>
      </c>
      <c r="D322" s="3" t="inlineStr">
        <is>
          <t>CGPA</t>
        </is>
      </c>
      <c r="E322" s="2" t="inlineStr">
        <is>
          <t>Explanation</t>
        </is>
      </c>
      <c r="F322" s="2" t="inlineStr">
        <is>
          <t>Educational</t>
        </is>
      </c>
      <c r="G322" s="3" t="inlineStr">
        <is>
          <t>7.2 cgpa to percentage</t>
        </is>
      </c>
      <c r="H322" s="3" t="inlineStr">
        <is>
          <t>convert 7.2 cgpa to percentage, 7.2 cgpa in percent, 7.2 cgpa marks</t>
        </is>
      </c>
      <c r="I322" s="3" t="inlineStr">
        <is>
          <t>CGPA to Percentage Calculator</t>
        </is>
      </c>
      <c r="J322" s="3" t="inlineStr">
        <is>
          <t>/student/cgpa-to-percentage</t>
        </is>
      </c>
      <c r="K322" s="3" t="inlineStr">
        <is>
          <t>Explain how 7.2 CGPA converts to percentage under CBSE (9.5x), AICTE ((CGPA-0.75)*10), VTU, Mumbai University, and standard 10x systems, providing exact percentage outputs.</t>
        </is>
      </c>
      <c r="L322" s="2" t="inlineStr">
        <is>
          <t>YES</t>
        </is>
      </c>
      <c r="M322" s="2" t="inlineStr">
        <is>
          <t>MEDIUM</t>
        </is>
      </c>
      <c r="N322" s="2" t="inlineStr">
        <is>
          <t>READY</t>
        </is>
      </c>
      <c r="O322" s="3" t="inlineStr"/>
      <c r="P322" s="3" t="inlineStr"/>
      <c r="Q322" s="3" t="inlineStr"/>
      <c r="R322" s="3" t="inlineStr"/>
    </row>
    <row r="323" ht="20" customHeight="1">
      <c r="A323" s="4" t="inlineStr">
        <is>
          <t>ST322</t>
        </is>
      </c>
      <c r="B323" s="5" t="inlineStr">
        <is>
          <t>7.4 CGPA to Percentage: CBSE 9.5x vs AICTE Formula Comparison</t>
        </is>
      </c>
      <c r="C323" s="4" t="inlineStr">
        <is>
          <t>Student</t>
        </is>
      </c>
      <c r="D323" s="5" t="inlineStr">
        <is>
          <t>CGPA</t>
        </is>
      </c>
      <c r="E323" s="4" t="inlineStr">
        <is>
          <t>Explanation</t>
        </is>
      </c>
      <c r="F323" s="4" t="inlineStr">
        <is>
          <t>Educational</t>
        </is>
      </c>
      <c r="G323" s="5" t="inlineStr">
        <is>
          <t>7.4 cgpa to percentage</t>
        </is>
      </c>
      <c r="H323" s="5" t="inlineStr">
        <is>
          <t>convert 7.4 cgpa to percentage, 7.4 cgpa in percent, 7.4 cgpa marks</t>
        </is>
      </c>
      <c r="I323" s="5" t="inlineStr">
        <is>
          <t>CGPA to Percentage Calculator</t>
        </is>
      </c>
      <c r="J323" s="5" t="inlineStr">
        <is>
          <t>/student/cgpa-to-percentage</t>
        </is>
      </c>
      <c r="K323" s="5" t="inlineStr">
        <is>
          <t>Explain how 7.4 CGPA converts to percentage under CBSE (9.5x), AICTE ((CGPA-0.75)*10), VTU, Mumbai University, and standard 10x systems, providing exact percentage outputs.</t>
        </is>
      </c>
      <c r="L323" s="4" t="inlineStr">
        <is>
          <t>YES</t>
        </is>
      </c>
      <c r="M323" s="4" t="inlineStr">
        <is>
          <t>MEDIUM</t>
        </is>
      </c>
      <c r="N323" s="4" t="inlineStr">
        <is>
          <t>READY</t>
        </is>
      </c>
      <c r="O323" s="5" t="inlineStr"/>
      <c r="P323" s="5" t="inlineStr"/>
      <c r="Q323" s="5" t="inlineStr"/>
      <c r="R323" s="5" t="inlineStr"/>
    </row>
    <row r="324" ht="20" customHeight="1">
      <c r="A324" s="2" t="inlineStr">
        <is>
          <t>ST323</t>
        </is>
      </c>
      <c r="B324" s="3" t="inlineStr">
        <is>
          <t>7.5 CGPA to Percentage: The Golden Benchmark for Engineering Placements</t>
        </is>
      </c>
      <c r="C324" s="2" t="inlineStr">
        <is>
          <t>Student</t>
        </is>
      </c>
      <c r="D324" s="3" t="inlineStr">
        <is>
          <t>CGPA</t>
        </is>
      </c>
      <c r="E324" s="2" t="inlineStr">
        <is>
          <t>Explanation</t>
        </is>
      </c>
      <c r="F324" s="2" t="inlineStr">
        <is>
          <t>Educational</t>
        </is>
      </c>
      <c r="G324" s="3" t="inlineStr">
        <is>
          <t>7.5 cgpa to percentage</t>
        </is>
      </c>
      <c r="H324" s="3" t="inlineStr">
        <is>
          <t>convert 7.5 cgpa to percentage, 7.5 cgpa in percent, 7.5 cgpa marks</t>
        </is>
      </c>
      <c r="I324" s="3" t="inlineStr">
        <is>
          <t>CGPA to Percentage Calculator</t>
        </is>
      </c>
      <c r="J324" s="3" t="inlineStr">
        <is>
          <t>/student/cgpa-to-percentage</t>
        </is>
      </c>
      <c r="K324" s="3" t="inlineStr">
        <is>
          <t>Explain how 7.5 CGPA converts to percentage under CBSE (9.5x), AICTE ((CGPA-0.75)*10), VTU, Mumbai University, and standard 10x systems, providing exact percentage outputs.</t>
        </is>
      </c>
      <c r="L324" s="2" t="inlineStr">
        <is>
          <t>YES</t>
        </is>
      </c>
      <c r="M324" s="2" t="inlineStr">
        <is>
          <t>HIGH</t>
        </is>
      </c>
      <c r="N324" s="2" t="inlineStr">
        <is>
          <t>READY</t>
        </is>
      </c>
      <c r="O324" s="3" t="inlineStr"/>
      <c r="P324" s="3" t="inlineStr"/>
      <c r="Q324" s="3" t="inlineStr"/>
      <c r="R324" s="3" t="inlineStr"/>
    </row>
    <row r="325" ht="20" customHeight="1">
      <c r="A325" s="4" t="inlineStr">
        <is>
          <t>ST324</t>
        </is>
      </c>
      <c r="B325" s="5" t="inlineStr">
        <is>
          <t>7.6 CGPA to Percentage: Converting to Percentage for Higher Studies</t>
        </is>
      </c>
      <c r="C325" s="4" t="inlineStr">
        <is>
          <t>Student</t>
        </is>
      </c>
      <c r="D325" s="5" t="inlineStr">
        <is>
          <t>CGPA</t>
        </is>
      </c>
      <c r="E325" s="4" t="inlineStr">
        <is>
          <t>Explanation</t>
        </is>
      </c>
      <c r="F325" s="4" t="inlineStr">
        <is>
          <t>Educational</t>
        </is>
      </c>
      <c r="G325" s="5" t="inlineStr">
        <is>
          <t>7.6 cgpa to percentage</t>
        </is>
      </c>
      <c r="H325" s="5" t="inlineStr">
        <is>
          <t>convert 7.6 cgpa to percentage, 7.6 cgpa in percent, 7.6 cgpa marks</t>
        </is>
      </c>
      <c r="I325" s="5" t="inlineStr">
        <is>
          <t>CGPA to Percentage Calculator</t>
        </is>
      </c>
      <c r="J325" s="5" t="inlineStr">
        <is>
          <t>/student/cgpa-to-percentage</t>
        </is>
      </c>
      <c r="K325" s="5" t="inlineStr">
        <is>
          <t>Explain how 7.6 CGPA converts to percentage under CBSE (9.5x), AICTE ((CGPA-0.75)*10), VTU, Mumbai University, and standard 10x systems, providing exact percentage outputs.</t>
        </is>
      </c>
      <c r="L325" s="4" t="inlineStr">
        <is>
          <t>YES</t>
        </is>
      </c>
      <c r="M325" s="4" t="inlineStr">
        <is>
          <t>MEDIUM</t>
        </is>
      </c>
      <c r="N325" s="4" t="inlineStr">
        <is>
          <t>READY</t>
        </is>
      </c>
      <c r="O325" s="5" t="inlineStr"/>
      <c r="P325" s="5" t="inlineStr"/>
      <c r="Q325" s="5" t="inlineStr"/>
      <c r="R325" s="5" t="inlineStr"/>
    </row>
    <row r="326" ht="20" customHeight="1">
      <c r="A326" s="2" t="inlineStr">
        <is>
          <t>ST325</t>
        </is>
      </c>
      <c r="B326" s="3" t="inlineStr">
        <is>
          <t>7.8 CGPA to Percentage: How to Convert for PSU and Government Job Forms</t>
        </is>
      </c>
      <c r="C326" s="2" t="inlineStr">
        <is>
          <t>Student</t>
        </is>
      </c>
      <c r="D326" s="3" t="inlineStr">
        <is>
          <t>CGPA</t>
        </is>
      </c>
      <c r="E326" s="2" t="inlineStr">
        <is>
          <t>Explanation</t>
        </is>
      </c>
      <c r="F326" s="2" t="inlineStr">
        <is>
          <t>Educational</t>
        </is>
      </c>
      <c r="G326" s="3" t="inlineStr">
        <is>
          <t>7.8 cgpa to percentage</t>
        </is>
      </c>
      <c r="H326" s="3" t="inlineStr">
        <is>
          <t>convert 7.8 cgpa to percentage, 7.8 cgpa in percent, 7.8 cgpa marks</t>
        </is>
      </c>
      <c r="I326" s="3" t="inlineStr">
        <is>
          <t>CGPA to Percentage Calculator</t>
        </is>
      </c>
      <c r="J326" s="3" t="inlineStr">
        <is>
          <t>/student/cgpa-to-percentage</t>
        </is>
      </c>
      <c r="K326" s="3" t="inlineStr">
        <is>
          <t>Explain how 7.8 CGPA converts to percentage under CBSE (9.5x), AICTE ((CGPA-0.75)*10), VTU, Mumbai University, and standard 10x systems, providing exact percentage outputs.</t>
        </is>
      </c>
      <c r="L326" s="2" t="inlineStr">
        <is>
          <t>YES</t>
        </is>
      </c>
      <c r="M326" s="2" t="inlineStr">
        <is>
          <t>MEDIUM</t>
        </is>
      </c>
      <c r="N326" s="2" t="inlineStr">
        <is>
          <t>READY</t>
        </is>
      </c>
      <c r="O326" s="3" t="inlineStr"/>
      <c r="P326" s="3" t="inlineStr"/>
      <c r="Q326" s="3" t="inlineStr"/>
      <c r="R326" s="3" t="inlineStr"/>
    </row>
    <row r="327" ht="20" customHeight="1">
      <c r="A327" s="4" t="inlineStr">
        <is>
          <t>ST326</t>
        </is>
      </c>
      <c r="B327" s="5" t="inlineStr">
        <is>
          <t>8.0 CGPA to Percentage: First Class with Distinction Conversion Guide</t>
        </is>
      </c>
      <c r="C327" s="4" t="inlineStr">
        <is>
          <t>Student</t>
        </is>
      </c>
      <c r="D327" s="5" t="inlineStr">
        <is>
          <t>CGPA</t>
        </is>
      </c>
      <c r="E327" s="4" t="inlineStr">
        <is>
          <t>Explanation</t>
        </is>
      </c>
      <c r="F327" s="4" t="inlineStr">
        <is>
          <t>Educational</t>
        </is>
      </c>
      <c r="G327" s="5" t="inlineStr">
        <is>
          <t>8.0 cgpa to percentage</t>
        </is>
      </c>
      <c r="H327" s="5" t="inlineStr">
        <is>
          <t>convert 8.0 cgpa to percentage, 8.0 cgpa in percent, 8.0 cgpa marks</t>
        </is>
      </c>
      <c r="I327" s="5" t="inlineStr">
        <is>
          <t>CGPA to Percentage Calculator</t>
        </is>
      </c>
      <c r="J327" s="5" t="inlineStr">
        <is>
          <t>/student/cgpa-to-percentage</t>
        </is>
      </c>
      <c r="K327" s="5" t="inlineStr">
        <is>
          <t>Explain how 8.0 CGPA converts to percentage under CBSE (9.5x), AICTE ((CGPA-0.75)*10), VTU, Mumbai University, and standard 10x systems, providing exact percentage outputs.</t>
        </is>
      </c>
      <c r="L327" s="4" t="inlineStr">
        <is>
          <t>YES</t>
        </is>
      </c>
      <c r="M327" s="4" t="inlineStr">
        <is>
          <t>HIGH</t>
        </is>
      </c>
      <c r="N327" s="4" t="inlineStr">
        <is>
          <t>READY</t>
        </is>
      </c>
      <c r="O327" s="5" t="inlineStr"/>
      <c r="P327" s="5" t="inlineStr"/>
      <c r="Q327" s="5" t="inlineStr"/>
      <c r="R327" s="5" t="inlineStr"/>
    </row>
    <row r="328" ht="20" customHeight="1">
      <c r="A328" s="2" t="inlineStr">
        <is>
          <t>ST327</t>
        </is>
      </c>
      <c r="B328" s="3" t="inlineStr">
        <is>
          <t>8.2 CGPA to Percentage: Exact Values Under CBSE, VTU, MU, and AICTE</t>
        </is>
      </c>
      <c r="C328" s="2" t="inlineStr">
        <is>
          <t>Student</t>
        </is>
      </c>
      <c r="D328" s="3" t="inlineStr">
        <is>
          <t>CGPA</t>
        </is>
      </c>
      <c r="E328" s="2" t="inlineStr">
        <is>
          <t>Explanation</t>
        </is>
      </c>
      <c r="F328" s="2" t="inlineStr">
        <is>
          <t>Educational</t>
        </is>
      </c>
      <c r="G328" s="3" t="inlineStr">
        <is>
          <t>8.2 cgpa to percentage</t>
        </is>
      </c>
      <c r="H328" s="3" t="inlineStr">
        <is>
          <t>convert 8.2 cgpa to percentage, 8.2 cgpa in percent, 8.2 cgpa marks</t>
        </is>
      </c>
      <c r="I328" s="3" t="inlineStr">
        <is>
          <t>CGPA to Percentage Calculator</t>
        </is>
      </c>
      <c r="J328" s="3" t="inlineStr">
        <is>
          <t>/student/cgpa-to-percentage</t>
        </is>
      </c>
      <c r="K328" s="3" t="inlineStr">
        <is>
          <t>Explain how 8.2 CGPA converts to percentage under CBSE (9.5x), AICTE ((CGPA-0.75)*10), VTU, Mumbai University, and standard 10x systems, providing exact percentage outputs.</t>
        </is>
      </c>
      <c r="L328" s="2" t="inlineStr">
        <is>
          <t>YES</t>
        </is>
      </c>
      <c r="M328" s="2" t="inlineStr">
        <is>
          <t>MEDIUM</t>
        </is>
      </c>
      <c r="N328" s="2" t="inlineStr">
        <is>
          <t>READY</t>
        </is>
      </c>
      <c r="O328" s="3" t="inlineStr"/>
      <c r="P328" s="3" t="inlineStr"/>
      <c r="Q328" s="3" t="inlineStr"/>
      <c r="R328" s="3" t="inlineStr"/>
    </row>
    <row r="329" ht="20" customHeight="1">
      <c r="A329" s="4" t="inlineStr">
        <is>
          <t>ST328</t>
        </is>
      </c>
      <c r="B329" s="5" t="inlineStr">
        <is>
          <t>8.4 CGPA to Percentage: What Percentage Does an 8.4 Grade Represent?</t>
        </is>
      </c>
      <c r="C329" s="4" t="inlineStr">
        <is>
          <t>Student</t>
        </is>
      </c>
      <c r="D329" s="5" t="inlineStr">
        <is>
          <t>CGPA</t>
        </is>
      </c>
      <c r="E329" s="4" t="inlineStr">
        <is>
          <t>Explanation</t>
        </is>
      </c>
      <c r="F329" s="4" t="inlineStr">
        <is>
          <t>Educational</t>
        </is>
      </c>
      <c r="G329" s="5" t="inlineStr">
        <is>
          <t>8.4 cgpa to percentage</t>
        </is>
      </c>
      <c r="H329" s="5" t="inlineStr">
        <is>
          <t>convert 8.4 cgpa to percentage, 8.4 cgpa in percent, 8.4 cgpa marks</t>
        </is>
      </c>
      <c r="I329" s="5" t="inlineStr">
        <is>
          <t>CGPA to Percentage Calculator</t>
        </is>
      </c>
      <c r="J329" s="5" t="inlineStr">
        <is>
          <t>/student/cgpa-to-percentage</t>
        </is>
      </c>
      <c r="K329" s="5" t="inlineStr">
        <is>
          <t>Explain how 8.4 CGPA converts to percentage under CBSE (9.5x), AICTE ((CGPA-0.75)*10), VTU, Mumbai University, and standard 10x systems, providing exact percentage outputs.</t>
        </is>
      </c>
      <c r="L329" s="4" t="inlineStr">
        <is>
          <t>YES</t>
        </is>
      </c>
      <c r="M329" s="4" t="inlineStr">
        <is>
          <t>MEDIUM</t>
        </is>
      </c>
      <c r="N329" s="4" t="inlineStr">
        <is>
          <t>READY</t>
        </is>
      </c>
      <c r="O329" s="5" t="inlineStr"/>
      <c r="P329" s="5" t="inlineStr"/>
      <c r="Q329" s="5" t="inlineStr"/>
      <c r="R329" s="5" t="inlineStr"/>
    </row>
    <row r="330" ht="20" customHeight="1">
      <c r="A330" s="2" t="inlineStr">
        <is>
          <t>ST329</t>
        </is>
      </c>
      <c r="B330" s="3" t="inlineStr">
        <is>
          <t>8.5 CGPA to Percentage: Elite Academic Standing and Scholarship Cutoffs</t>
        </is>
      </c>
      <c r="C330" s="2" t="inlineStr">
        <is>
          <t>Student</t>
        </is>
      </c>
      <c r="D330" s="3" t="inlineStr">
        <is>
          <t>CGPA</t>
        </is>
      </c>
      <c r="E330" s="2" t="inlineStr">
        <is>
          <t>Explanation</t>
        </is>
      </c>
      <c r="F330" s="2" t="inlineStr">
        <is>
          <t>Educational</t>
        </is>
      </c>
      <c r="G330" s="3" t="inlineStr">
        <is>
          <t>8.5 cgpa to percentage</t>
        </is>
      </c>
      <c r="H330" s="3" t="inlineStr">
        <is>
          <t>convert 8.5 cgpa to percentage, 8.5 cgpa in percent, 8.5 cgpa marks</t>
        </is>
      </c>
      <c r="I330" s="3" t="inlineStr">
        <is>
          <t>CGPA to Percentage Calculator</t>
        </is>
      </c>
      <c r="J330" s="3" t="inlineStr">
        <is>
          <t>/student/cgpa-to-percentage</t>
        </is>
      </c>
      <c r="K330" s="3" t="inlineStr">
        <is>
          <t>Explain how 8.5 CGPA converts to percentage under CBSE (9.5x), AICTE ((CGPA-0.75)*10), VTU, Mumbai University, and standard 10x systems, providing exact percentage outputs.</t>
        </is>
      </c>
      <c r="L330" s="2" t="inlineStr">
        <is>
          <t>YES</t>
        </is>
      </c>
      <c r="M330" s="2" t="inlineStr">
        <is>
          <t>HIGH</t>
        </is>
      </c>
      <c r="N330" s="2" t="inlineStr">
        <is>
          <t>READY</t>
        </is>
      </c>
      <c r="O330" s="3" t="inlineStr"/>
      <c r="P330" s="3" t="inlineStr"/>
      <c r="Q330" s="3" t="inlineStr"/>
      <c r="R330" s="3" t="inlineStr"/>
    </row>
    <row r="331" ht="20" customHeight="1">
      <c r="A331" s="4" t="inlineStr">
        <is>
          <t>ST330</t>
        </is>
      </c>
      <c r="B331" s="5" t="inlineStr">
        <is>
          <t>8.6 CGPA to Percentage: Calculating Your Aggregate for MS Abroad</t>
        </is>
      </c>
      <c r="C331" s="4" t="inlineStr">
        <is>
          <t>Student</t>
        </is>
      </c>
      <c r="D331" s="5" t="inlineStr">
        <is>
          <t>CGPA</t>
        </is>
      </c>
      <c r="E331" s="4" t="inlineStr">
        <is>
          <t>Explanation</t>
        </is>
      </c>
      <c r="F331" s="4" t="inlineStr">
        <is>
          <t>Educational</t>
        </is>
      </c>
      <c r="G331" s="5" t="inlineStr">
        <is>
          <t>8.6 cgpa to percentage</t>
        </is>
      </c>
      <c r="H331" s="5" t="inlineStr">
        <is>
          <t>convert 8.6 cgpa to percentage, 8.6 cgpa in percent, 8.6 cgpa marks</t>
        </is>
      </c>
      <c r="I331" s="5" t="inlineStr">
        <is>
          <t>CGPA to Percentage Calculator</t>
        </is>
      </c>
      <c r="J331" s="5" t="inlineStr">
        <is>
          <t>/student/cgpa-to-percentage</t>
        </is>
      </c>
      <c r="K331" s="5" t="inlineStr">
        <is>
          <t>Explain how 8.6 CGPA converts to percentage under CBSE (9.5x), AICTE ((CGPA-0.75)*10), VTU, Mumbai University, and standard 10x systems, providing exact percentage outputs.</t>
        </is>
      </c>
      <c r="L331" s="4" t="inlineStr">
        <is>
          <t>YES</t>
        </is>
      </c>
      <c r="M331" s="4" t="inlineStr">
        <is>
          <t>MEDIUM</t>
        </is>
      </c>
      <c r="N331" s="4" t="inlineStr">
        <is>
          <t>READY</t>
        </is>
      </c>
      <c r="O331" s="5" t="inlineStr"/>
      <c r="P331" s="5" t="inlineStr"/>
      <c r="Q331" s="5" t="inlineStr"/>
      <c r="R331" s="5" t="inlineStr"/>
    </row>
    <row r="332" ht="20" customHeight="1">
      <c r="A332" s="2" t="inlineStr">
        <is>
          <t>ST331</t>
        </is>
      </c>
      <c r="B332" s="3" t="inlineStr">
        <is>
          <t>8.8 CGPA to Percentage: Conversion Breakdown with Worked Examples</t>
        </is>
      </c>
      <c r="C332" s="2" t="inlineStr">
        <is>
          <t>Student</t>
        </is>
      </c>
      <c r="D332" s="3" t="inlineStr">
        <is>
          <t>CGPA</t>
        </is>
      </c>
      <c r="E332" s="2" t="inlineStr">
        <is>
          <t>Explanation</t>
        </is>
      </c>
      <c r="F332" s="2" t="inlineStr">
        <is>
          <t>Educational</t>
        </is>
      </c>
      <c r="G332" s="3" t="inlineStr">
        <is>
          <t>8.8 cgpa to percentage</t>
        </is>
      </c>
      <c r="H332" s="3" t="inlineStr">
        <is>
          <t>convert 8.8 cgpa to percentage, 8.8 cgpa in percent, 8.8 cgpa marks</t>
        </is>
      </c>
      <c r="I332" s="3" t="inlineStr">
        <is>
          <t>CGPA to Percentage Calculator</t>
        </is>
      </c>
      <c r="J332" s="3" t="inlineStr">
        <is>
          <t>/student/cgpa-to-percentage</t>
        </is>
      </c>
      <c r="K332" s="3" t="inlineStr">
        <is>
          <t>Explain how 8.8 CGPA converts to percentage under CBSE (9.5x), AICTE ((CGPA-0.75)*10), VTU, Mumbai University, and standard 10x systems, providing exact percentage outputs.</t>
        </is>
      </c>
      <c r="L332" s="2" t="inlineStr">
        <is>
          <t>YES</t>
        </is>
      </c>
      <c r="M332" s="2" t="inlineStr">
        <is>
          <t>MEDIUM</t>
        </is>
      </c>
      <c r="N332" s="2" t="inlineStr">
        <is>
          <t>READY</t>
        </is>
      </c>
      <c r="O332" s="3" t="inlineStr"/>
      <c r="P332" s="3" t="inlineStr"/>
      <c r="Q332" s="3" t="inlineStr"/>
      <c r="R332" s="3" t="inlineStr"/>
    </row>
    <row r="333" ht="20" customHeight="1">
      <c r="A333" s="4" t="inlineStr">
        <is>
          <t>ST332</t>
        </is>
      </c>
      <c r="B333" s="5" t="inlineStr">
        <is>
          <t>9.0 CGPA to Percentage: What Does a 9.0 Grade Point Equate to in Percentage?</t>
        </is>
      </c>
      <c r="C333" s="4" t="inlineStr">
        <is>
          <t>Student</t>
        </is>
      </c>
      <c r="D333" s="5" t="inlineStr">
        <is>
          <t>CGPA</t>
        </is>
      </c>
      <c r="E333" s="4" t="inlineStr">
        <is>
          <t>Explanation</t>
        </is>
      </c>
      <c r="F333" s="4" t="inlineStr">
        <is>
          <t>Educational</t>
        </is>
      </c>
      <c r="G333" s="5" t="inlineStr">
        <is>
          <t>9.0 cgpa to percentage</t>
        </is>
      </c>
      <c r="H333" s="5" t="inlineStr">
        <is>
          <t>convert 9.0 cgpa to percentage, 9.0 cgpa in percent, 9.0 cgpa marks</t>
        </is>
      </c>
      <c r="I333" s="5" t="inlineStr">
        <is>
          <t>CGPA to Percentage Calculator</t>
        </is>
      </c>
      <c r="J333" s="5" t="inlineStr">
        <is>
          <t>/student/cgpa-to-percentage</t>
        </is>
      </c>
      <c r="K333" s="5" t="inlineStr">
        <is>
          <t>Explain how 9.0 CGPA converts to percentage under CBSE (9.5x), AICTE ((CGPA-0.75)*10), VTU, Mumbai University, and standard 10x systems, providing exact percentage outputs.</t>
        </is>
      </c>
      <c r="L333" s="4" t="inlineStr">
        <is>
          <t>YES</t>
        </is>
      </c>
      <c r="M333" s="4" t="inlineStr">
        <is>
          <t>HIGH</t>
        </is>
      </c>
      <c r="N333" s="4" t="inlineStr">
        <is>
          <t>READY</t>
        </is>
      </c>
      <c r="O333" s="5" t="inlineStr"/>
      <c r="P333" s="5" t="inlineStr"/>
      <c r="Q333" s="5" t="inlineStr"/>
      <c r="R333" s="5" t="inlineStr"/>
    </row>
    <row r="334" ht="20" customHeight="1">
      <c r="A334" s="2" t="inlineStr">
        <is>
          <t>ST333</t>
        </is>
      </c>
      <c r="B334" s="3" t="inlineStr">
        <is>
          <t>9.2 CGPA to Percentage: Top 5% Academic Standing Conversion</t>
        </is>
      </c>
      <c r="C334" s="2" t="inlineStr">
        <is>
          <t>Student</t>
        </is>
      </c>
      <c r="D334" s="3" t="inlineStr">
        <is>
          <t>CGPA</t>
        </is>
      </c>
      <c r="E334" s="2" t="inlineStr">
        <is>
          <t>Explanation</t>
        </is>
      </c>
      <c r="F334" s="2" t="inlineStr">
        <is>
          <t>Educational</t>
        </is>
      </c>
      <c r="G334" s="3" t="inlineStr">
        <is>
          <t>9.2 cgpa to percentage</t>
        </is>
      </c>
      <c r="H334" s="3" t="inlineStr">
        <is>
          <t>convert 9.2 cgpa to percentage, 9.2 cgpa in percent, 9.2 cgpa marks</t>
        </is>
      </c>
      <c r="I334" s="3" t="inlineStr">
        <is>
          <t>CGPA to Percentage Calculator</t>
        </is>
      </c>
      <c r="J334" s="3" t="inlineStr">
        <is>
          <t>/student/cgpa-to-percentage</t>
        </is>
      </c>
      <c r="K334" s="3" t="inlineStr">
        <is>
          <t>Explain how 9.2 CGPA converts to percentage under CBSE (9.5x), AICTE ((CGPA-0.75)*10), VTU, Mumbai University, and standard 10x systems, providing exact percentage outputs.</t>
        </is>
      </c>
      <c r="L334" s="2" t="inlineStr">
        <is>
          <t>YES</t>
        </is>
      </c>
      <c r="M334" s="2" t="inlineStr">
        <is>
          <t>MEDIUM</t>
        </is>
      </c>
      <c r="N334" s="2" t="inlineStr">
        <is>
          <t>READY</t>
        </is>
      </c>
      <c r="O334" s="3" t="inlineStr"/>
      <c r="P334" s="3" t="inlineStr"/>
      <c r="Q334" s="3" t="inlineStr"/>
      <c r="R334" s="3" t="inlineStr"/>
    </row>
    <row r="335" ht="20" customHeight="1">
      <c r="A335" s="4" t="inlineStr">
        <is>
          <t>ST334</t>
        </is>
      </c>
      <c r="B335" s="5" t="inlineStr">
        <is>
          <t>9.4 CGPA to Percentage: Converting for IIM CAT and MBA Admissions</t>
        </is>
      </c>
      <c r="C335" s="4" t="inlineStr">
        <is>
          <t>Student</t>
        </is>
      </c>
      <c r="D335" s="5" t="inlineStr">
        <is>
          <t>CGPA</t>
        </is>
      </c>
      <c r="E335" s="4" t="inlineStr">
        <is>
          <t>Explanation</t>
        </is>
      </c>
      <c r="F335" s="4" t="inlineStr">
        <is>
          <t>Educational</t>
        </is>
      </c>
      <c r="G335" s="5" t="inlineStr">
        <is>
          <t>9.4 cgpa to percentage</t>
        </is>
      </c>
      <c r="H335" s="5" t="inlineStr">
        <is>
          <t>convert 9.4 cgpa to percentage, 9.4 cgpa in percent, 9.4 cgpa marks</t>
        </is>
      </c>
      <c r="I335" s="5" t="inlineStr">
        <is>
          <t>CGPA to Percentage Calculator</t>
        </is>
      </c>
      <c r="J335" s="5" t="inlineStr">
        <is>
          <t>/student/cgpa-to-percentage</t>
        </is>
      </c>
      <c r="K335" s="5" t="inlineStr">
        <is>
          <t>Explain how 9.4 CGPA converts to percentage under CBSE (9.5x), AICTE ((CGPA-0.75)*10), VTU, Mumbai University, and standard 10x systems, providing exact percentage outputs.</t>
        </is>
      </c>
      <c r="L335" s="4" t="inlineStr">
        <is>
          <t>YES</t>
        </is>
      </c>
      <c r="M335" s="4" t="inlineStr">
        <is>
          <t>MEDIUM</t>
        </is>
      </c>
      <c r="N335" s="4" t="inlineStr">
        <is>
          <t>READY</t>
        </is>
      </c>
      <c r="O335" s="5" t="inlineStr"/>
      <c r="P335" s="5" t="inlineStr"/>
      <c r="Q335" s="5" t="inlineStr"/>
      <c r="R335" s="5" t="inlineStr"/>
    </row>
    <row r="336" ht="20" customHeight="1">
      <c r="A336" s="2" t="inlineStr">
        <is>
          <t>ST335</t>
        </is>
      </c>
      <c r="B336" s="3" t="inlineStr">
        <is>
          <t>9.5 CGPA to Percentage: Why It Equals Exactly 90.25% in CBSE</t>
        </is>
      </c>
      <c r="C336" s="2" t="inlineStr">
        <is>
          <t>Student</t>
        </is>
      </c>
      <c r="D336" s="3" t="inlineStr">
        <is>
          <t>CGPA</t>
        </is>
      </c>
      <c r="E336" s="2" t="inlineStr">
        <is>
          <t>Explanation</t>
        </is>
      </c>
      <c r="F336" s="2" t="inlineStr">
        <is>
          <t>Educational</t>
        </is>
      </c>
      <c r="G336" s="3" t="inlineStr">
        <is>
          <t>9.5 cgpa to percentage</t>
        </is>
      </c>
      <c r="H336" s="3" t="inlineStr">
        <is>
          <t>convert 9.5 cgpa to percentage, 9.5 cgpa in percent, 9.5 cgpa marks</t>
        </is>
      </c>
      <c r="I336" s="3" t="inlineStr">
        <is>
          <t>CGPA to Percentage Calculator</t>
        </is>
      </c>
      <c r="J336" s="3" t="inlineStr">
        <is>
          <t>/student/cgpa-to-percentage</t>
        </is>
      </c>
      <c r="K336" s="3" t="inlineStr">
        <is>
          <t>Explain how 9.5 CGPA converts to percentage under CBSE (9.5x), AICTE ((CGPA-0.75)*10), VTU, Mumbai University, and standard 10x systems, providing exact percentage outputs.</t>
        </is>
      </c>
      <c r="L336" s="2" t="inlineStr">
        <is>
          <t>YES</t>
        </is>
      </c>
      <c r="M336" s="2" t="inlineStr">
        <is>
          <t>HIGH</t>
        </is>
      </c>
      <c r="N336" s="2" t="inlineStr">
        <is>
          <t>READY</t>
        </is>
      </c>
      <c r="O336" s="3" t="inlineStr"/>
      <c r="P336" s="3" t="inlineStr"/>
      <c r="Q336" s="3" t="inlineStr"/>
      <c r="R336" s="3" t="inlineStr"/>
    </row>
    <row r="337" ht="20" customHeight="1">
      <c r="A337" s="4" t="inlineStr">
        <is>
          <t>ST336</t>
        </is>
      </c>
      <c r="B337" s="5" t="inlineStr">
        <is>
          <t>9.6 CGPA to Percentage: High Honor Grade Conversion Breakdown</t>
        </is>
      </c>
      <c r="C337" s="4" t="inlineStr">
        <is>
          <t>Student</t>
        </is>
      </c>
      <c r="D337" s="5" t="inlineStr">
        <is>
          <t>CGPA</t>
        </is>
      </c>
      <c r="E337" s="4" t="inlineStr">
        <is>
          <t>Explanation</t>
        </is>
      </c>
      <c r="F337" s="4" t="inlineStr">
        <is>
          <t>Educational</t>
        </is>
      </c>
      <c r="G337" s="5" t="inlineStr">
        <is>
          <t>9.6 cgpa to percentage</t>
        </is>
      </c>
      <c r="H337" s="5" t="inlineStr">
        <is>
          <t>convert 9.6 cgpa to percentage, 9.6 cgpa in percent, 9.6 cgpa marks</t>
        </is>
      </c>
      <c r="I337" s="5" t="inlineStr">
        <is>
          <t>CGPA to Percentage Calculator</t>
        </is>
      </c>
      <c r="J337" s="5" t="inlineStr">
        <is>
          <t>/student/cgpa-to-percentage</t>
        </is>
      </c>
      <c r="K337" s="5" t="inlineStr">
        <is>
          <t>Explain how 9.6 CGPA converts to percentage under CBSE (9.5x), AICTE ((CGPA-0.75)*10), VTU, Mumbai University, and standard 10x systems, providing exact percentage outputs.</t>
        </is>
      </c>
      <c r="L337" s="4" t="inlineStr">
        <is>
          <t>YES</t>
        </is>
      </c>
      <c r="M337" s="4" t="inlineStr">
        <is>
          <t>MEDIUM</t>
        </is>
      </c>
      <c r="N337" s="4" t="inlineStr">
        <is>
          <t>READY</t>
        </is>
      </c>
      <c r="O337" s="5" t="inlineStr"/>
      <c r="P337" s="5" t="inlineStr"/>
      <c r="Q337" s="5" t="inlineStr"/>
      <c r="R337" s="5" t="inlineStr"/>
    </row>
    <row r="338" ht="20" customHeight="1">
      <c r="A338" s="2" t="inlineStr">
        <is>
          <t>ST337</t>
        </is>
      </c>
      <c r="B338" s="3" t="inlineStr">
        <is>
          <t>9.8 CGPA to Percentage: Near-Perfect Academic Record Conversion</t>
        </is>
      </c>
      <c r="C338" s="2" t="inlineStr">
        <is>
          <t>Student</t>
        </is>
      </c>
      <c r="D338" s="3" t="inlineStr">
        <is>
          <t>CGPA</t>
        </is>
      </c>
      <c r="E338" s="2" t="inlineStr">
        <is>
          <t>Explanation</t>
        </is>
      </c>
      <c r="F338" s="2" t="inlineStr">
        <is>
          <t>Educational</t>
        </is>
      </c>
      <c r="G338" s="3" t="inlineStr">
        <is>
          <t>9.8 cgpa to percentage</t>
        </is>
      </c>
      <c r="H338" s="3" t="inlineStr">
        <is>
          <t>convert 9.8 cgpa to percentage, 9.8 cgpa in percent, 9.8 cgpa marks</t>
        </is>
      </c>
      <c r="I338" s="3" t="inlineStr">
        <is>
          <t>CGPA to Percentage Calculator</t>
        </is>
      </c>
      <c r="J338" s="3" t="inlineStr">
        <is>
          <t>/student/cgpa-to-percentage</t>
        </is>
      </c>
      <c r="K338" s="3" t="inlineStr">
        <is>
          <t>Explain how 9.8 CGPA converts to percentage under CBSE (9.5x), AICTE ((CGPA-0.75)*10), VTU, Mumbai University, and standard 10x systems, providing exact percentage outputs.</t>
        </is>
      </c>
      <c r="L338" s="2" t="inlineStr">
        <is>
          <t>YES</t>
        </is>
      </c>
      <c r="M338" s="2" t="inlineStr">
        <is>
          <t>MEDIUM</t>
        </is>
      </c>
      <c r="N338" s="2" t="inlineStr">
        <is>
          <t>READY</t>
        </is>
      </c>
      <c r="O338" s="3" t="inlineStr"/>
      <c r="P338" s="3" t="inlineStr"/>
      <c r="Q338" s="3" t="inlineStr"/>
      <c r="R338" s="3" t="inlineStr"/>
    </row>
    <row r="339" ht="20" customHeight="1">
      <c r="A339" s="4" t="inlineStr">
        <is>
          <t>ST338</t>
        </is>
      </c>
      <c r="B339" s="5" t="inlineStr">
        <is>
          <t>10.0 CGPA to Percentage: Does a Perfect 10 Equal 100% or 95%?</t>
        </is>
      </c>
      <c r="C339" s="4" t="inlineStr">
        <is>
          <t>Student</t>
        </is>
      </c>
      <c r="D339" s="5" t="inlineStr">
        <is>
          <t>CGPA</t>
        </is>
      </c>
      <c r="E339" s="4" t="inlineStr">
        <is>
          <t>Explanation</t>
        </is>
      </c>
      <c r="F339" s="4" t="inlineStr">
        <is>
          <t>Educational</t>
        </is>
      </c>
      <c r="G339" s="5" t="inlineStr">
        <is>
          <t>10 cgpa to percentage</t>
        </is>
      </c>
      <c r="H339" s="5" t="inlineStr">
        <is>
          <t>convert 10.0 cgpa to percentage, 10.0 cgpa in percent, 10.0 cgpa marks</t>
        </is>
      </c>
      <c r="I339" s="5" t="inlineStr">
        <is>
          <t>CGPA to Percentage Calculator</t>
        </is>
      </c>
      <c r="J339" s="5" t="inlineStr">
        <is>
          <t>/student/cgpa-to-percentage</t>
        </is>
      </c>
      <c r="K339" s="5" t="inlineStr">
        <is>
          <t>Explain how 10.0 CGPA converts to percentage under CBSE (9.5x), AICTE ((CGPA-0.75)*10), VTU, Mumbai University, and standard 10x systems, providing exact percentage outputs.</t>
        </is>
      </c>
      <c r="L339" s="4" t="inlineStr">
        <is>
          <t>YES</t>
        </is>
      </c>
      <c r="M339" s="4" t="inlineStr">
        <is>
          <t>HIGH</t>
        </is>
      </c>
      <c r="N339" s="4" t="inlineStr">
        <is>
          <t>READY</t>
        </is>
      </c>
      <c r="O339" s="5" t="inlineStr"/>
      <c r="P339" s="5" t="inlineStr"/>
      <c r="Q339" s="5" t="inlineStr"/>
      <c r="R339" s="5" t="inlineStr"/>
    </row>
    <row r="340" ht="20" customHeight="1">
      <c r="A340" s="2" t="inlineStr">
        <is>
          <t>ST339</t>
        </is>
      </c>
      <c r="B340" s="3" t="inlineStr">
        <is>
          <t>5.5 CGPA to Percentage: Passing Criteria, Backlog Cleared Marks, and Minimum Thresholds</t>
        </is>
      </c>
      <c r="C340" s="2" t="inlineStr">
        <is>
          <t>Student</t>
        </is>
      </c>
      <c r="D340" s="3" t="inlineStr">
        <is>
          <t>CGPA</t>
        </is>
      </c>
      <c r="E340" s="2" t="inlineStr">
        <is>
          <t>Explanation</t>
        </is>
      </c>
      <c r="F340" s="2" t="inlineStr">
        <is>
          <t>Educational</t>
        </is>
      </c>
      <c r="G340" s="3" t="inlineStr">
        <is>
          <t>5.5 cgpa to percentage</t>
        </is>
      </c>
      <c r="H340" s="3" t="inlineStr">
        <is>
          <t>convert 5.5 cgpa to percentage, 5.5 cgpa in percent, 5.5 cgpa marks</t>
        </is>
      </c>
      <c r="I340" s="3" t="inlineStr">
        <is>
          <t>CGPA to Percentage Calculator</t>
        </is>
      </c>
      <c r="J340" s="3" t="inlineStr">
        <is>
          <t>/student/cgpa-to-percentage</t>
        </is>
      </c>
      <c r="K340" s="3" t="inlineStr">
        <is>
          <t>Explain how 5.5 CGPA converts to percentage under CBSE (9.5x), AICTE ((CGPA-0.75)*10), VTU, Mumbai University, and standard 10x systems, providing exact percentage outputs.</t>
        </is>
      </c>
      <c r="L340" s="2" t="inlineStr">
        <is>
          <t>YES</t>
        </is>
      </c>
      <c r="M340" s="2" t="inlineStr">
        <is>
          <t>LOW</t>
        </is>
      </c>
      <c r="N340" s="2" t="inlineStr">
        <is>
          <t>READY</t>
        </is>
      </c>
      <c r="O340" s="3" t="inlineStr"/>
      <c r="P340" s="3" t="inlineStr"/>
      <c r="Q340" s="3" t="inlineStr"/>
      <c r="R340" s="3" t="inlineStr"/>
    </row>
    <row r="341" ht="20" customHeight="1">
      <c r="A341" s="4" t="inlineStr">
        <is>
          <t>ST340</t>
        </is>
      </c>
      <c r="B341" s="5" t="inlineStr">
        <is>
          <t>5.8 CGPA to Percentage: Qualifying for Second Division in Indian Universities</t>
        </is>
      </c>
      <c r="C341" s="4" t="inlineStr">
        <is>
          <t>Student</t>
        </is>
      </c>
      <c r="D341" s="5" t="inlineStr">
        <is>
          <t>CGPA</t>
        </is>
      </c>
      <c r="E341" s="4" t="inlineStr">
        <is>
          <t>Explanation</t>
        </is>
      </c>
      <c r="F341" s="4" t="inlineStr">
        <is>
          <t>Educational</t>
        </is>
      </c>
      <c r="G341" s="5" t="inlineStr">
        <is>
          <t>5.8 cgpa to percentage</t>
        </is>
      </c>
      <c r="H341" s="5" t="inlineStr">
        <is>
          <t>convert 5.8 cgpa to percentage, 5.8 cgpa in percent, 5.8 cgpa marks</t>
        </is>
      </c>
      <c r="I341" s="5" t="inlineStr">
        <is>
          <t>CGPA to Percentage Calculator</t>
        </is>
      </c>
      <c r="J341" s="5" t="inlineStr">
        <is>
          <t>/student/cgpa-to-percentage</t>
        </is>
      </c>
      <c r="K341" s="5" t="inlineStr">
        <is>
          <t>Explain how 5.8 CGPA converts to percentage under CBSE (9.5x), AICTE ((CGPA-0.75)*10), VTU, Mumbai University, and standard 10x systems, providing exact percentage outputs.</t>
        </is>
      </c>
      <c r="L341" s="4" t="inlineStr">
        <is>
          <t>YES</t>
        </is>
      </c>
      <c r="M341" s="4" t="inlineStr">
        <is>
          <t>LOW</t>
        </is>
      </c>
      <c r="N341" s="4" t="inlineStr">
        <is>
          <t>READY</t>
        </is>
      </c>
      <c r="O341" s="5" t="inlineStr"/>
      <c r="P341" s="5" t="inlineStr"/>
      <c r="Q341" s="5" t="inlineStr"/>
      <c r="R341" s="5" t="inlineStr"/>
    </row>
    <row r="342" ht="20" customHeight="1">
      <c r="A342" s="2" t="inlineStr">
        <is>
          <t>ST341</t>
        </is>
      </c>
      <c r="B342" s="3" t="inlineStr">
        <is>
          <t>6.3 CGPA to Percentage: Conversion Guide for Engineering Marksheets</t>
        </is>
      </c>
      <c r="C342" s="2" t="inlineStr">
        <is>
          <t>Student</t>
        </is>
      </c>
      <c r="D342" s="3" t="inlineStr">
        <is>
          <t>CGPA</t>
        </is>
      </c>
      <c r="E342" s="2" t="inlineStr">
        <is>
          <t>Explanation</t>
        </is>
      </c>
      <c r="F342" s="2" t="inlineStr">
        <is>
          <t>Educational</t>
        </is>
      </c>
      <c r="G342" s="3" t="inlineStr">
        <is>
          <t>6.3 cgpa to percentage</t>
        </is>
      </c>
      <c r="H342" s="3" t="inlineStr">
        <is>
          <t>convert 6.3 cgpa to percentage, 6.3 cgpa in percent, 6.3 cgpa marks</t>
        </is>
      </c>
      <c r="I342" s="3" t="inlineStr">
        <is>
          <t>CGPA to Percentage Calculator</t>
        </is>
      </c>
      <c r="J342" s="3" t="inlineStr">
        <is>
          <t>/student/cgpa-to-percentage</t>
        </is>
      </c>
      <c r="K342" s="3" t="inlineStr">
        <is>
          <t>Explain how 6.3 CGPA converts to percentage under CBSE (9.5x), AICTE ((CGPA-0.75)*10), VTU, Mumbai University, and standard 10x systems, providing exact percentage outputs.</t>
        </is>
      </c>
      <c r="L342" s="2" t="inlineStr">
        <is>
          <t>YES</t>
        </is>
      </c>
      <c r="M342" s="2" t="inlineStr">
        <is>
          <t>LOW</t>
        </is>
      </c>
      <c r="N342" s="2" t="inlineStr">
        <is>
          <t>READY</t>
        </is>
      </c>
      <c r="O342" s="3" t="inlineStr"/>
      <c r="P342" s="3" t="inlineStr"/>
      <c r="Q342" s="3" t="inlineStr"/>
      <c r="R342" s="3" t="inlineStr"/>
    </row>
    <row r="343" ht="20" customHeight="1">
      <c r="A343" s="4" t="inlineStr">
        <is>
          <t>ST342</t>
        </is>
      </c>
      <c r="B343" s="5" t="inlineStr">
        <is>
          <t>6.4 CGPA to Percentage: Step-by-Step Conversion for Degree Certificates</t>
        </is>
      </c>
      <c r="C343" s="4" t="inlineStr">
        <is>
          <t>Student</t>
        </is>
      </c>
      <c r="D343" s="5" t="inlineStr">
        <is>
          <t>CGPA</t>
        </is>
      </c>
      <c r="E343" s="4" t="inlineStr">
        <is>
          <t>Explanation</t>
        </is>
      </c>
      <c r="F343" s="4" t="inlineStr">
        <is>
          <t>Educational</t>
        </is>
      </c>
      <c r="G343" s="5" t="inlineStr">
        <is>
          <t>6.4 cgpa to percentage</t>
        </is>
      </c>
      <c r="H343" s="5" t="inlineStr">
        <is>
          <t>convert 6.4 cgpa to percentage, 6.4 cgpa in percent, 6.4 cgpa marks</t>
        </is>
      </c>
      <c r="I343" s="5" t="inlineStr">
        <is>
          <t>CGPA to Percentage Calculator</t>
        </is>
      </c>
      <c r="J343" s="5" t="inlineStr">
        <is>
          <t>/student/cgpa-to-percentage</t>
        </is>
      </c>
      <c r="K343" s="5" t="inlineStr">
        <is>
          <t>Explain how 6.4 CGPA converts to percentage under CBSE (9.5x), AICTE ((CGPA-0.75)*10), VTU, Mumbai University, and standard 10x systems, providing exact percentage outputs.</t>
        </is>
      </c>
      <c r="L343" s="4" t="inlineStr">
        <is>
          <t>YES</t>
        </is>
      </c>
      <c r="M343" s="4" t="inlineStr">
        <is>
          <t>LOW</t>
        </is>
      </c>
      <c r="N343" s="4" t="inlineStr">
        <is>
          <t>READY</t>
        </is>
      </c>
      <c r="O343" s="5" t="inlineStr"/>
      <c r="P343" s="5" t="inlineStr"/>
      <c r="Q343" s="5" t="inlineStr"/>
      <c r="R343" s="5" t="inlineStr"/>
    </row>
    <row r="344" ht="20" customHeight="1">
      <c r="A344" s="2" t="inlineStr">
        <is>
          <t>ST343</t>
        </is>
      </c>
      <c r="B344" s="3" t="inlineStr">
        <is>
          <t>6.6 CGPA to Percentage: Meeting Bank Exam and SSC CGL Eligibility</t>
        </is>
      </c>
      <c r="C344" s="2" t="inlineStr">
        <is>
          <t>Student</t>
        </is>
      </c>
      <c r="D344" s="3" t="inlineStr">
        <is>
          <t>CGPA</t>
        </is>
      </c>
      <c r="E344" s="2" t="inlineStr">
        <is>
          <t>Explanation</t>
        </is>
      </c>
      <c r="F344" s="2" t="inlineStr">
        <is>
          <t>Educational</t>
        </is>
      </c>
      <c r="G344" s="3" t="inlineStr">
        <is>
          <t>6.6 cgpa to percentage</t>
        </is>
      </c>
      <c r="H344" s="3" t="inlineStr">
        <is>
          <t>convert 6.6 cgpa to percentage, 6.6 cgpa in percent, 6.6 cgpa marks</t>
        </is>
      </c>
      <c r="I344" s="3" t="inlineStr">
        <is>
          <t>CGPA to Percentage Calculator</t>
        </is>
      </c>
      <c r="J344" s="3" t="inlineStr">
        <is>
          <t>/student/cgpa-to-percentage</t>
        </is>
      </c>
      <c r="K344" s="3" t="inlineStr">
        <is>
          <t>Explain how 6.6 CGPA converts to percentage under CBSE (9.5x), AICTE ((CGPA-0.75)*10), VTU, Mumbai University, and standard 10x systems, providing exact percentage outputs.</t>
        </is>
      </c>
      <c r="L344" s="2" t="inlineStr">
        <is>
          <t>YES</t>
        </is>
      </c>
      <c r="M344" s="2" t="inlineStr">
        <is>
          <t>LOW</t>
        </is>
      </c>
      <c r="N344" s="2" t="inlineStr">
        <is>
          <t>READY</t>
        </is>
      </c>
      <c r="O344" s="3" t="inlineStr"/>
      <c r="P344" s="3" t="inlineStr"/>
      <c r="Q344" s="3" t="inlineStr"/>
      <c r="R344" s="3" t="inlineStr"/>
    </row>
    <row r="345" ht="20" customHeight="1">
      <c r="A345" s="4" t="inlineStr">
        <is>
          <t>ST344</t>
        </is>
      </c>
      <c r="B345" s="5" t="inlineStr">
        <is>
          <t>6.7 CGPA to Percentage: Conversion Guide for Corporate Application Forms</t>
        </is>
      </c>
      <c r="C345" s="4" t="inlineStr">
        <is>
          <t>Student</t>
        </is>
      </c>
      <c r="D345" s="5" t="inlineStr">
        <is>
          <t>CGPA</t>
        </is>
      </c>
      <c r="E345" s="4" t="inlineStr">
        <is>
          <t>Explanation</t>
        </is>
      </c>
      <c r="F345" s="4" t="inlineStr">
        <is>
          <t>Educational</t>
        </is>
      </c>
      <c r="G345" s="5" t="inlineStr">
        <is>
          <t>6.7 cgpa to percentage</t>
        </is>
      </c>
      <c r="H345" s="5" t="inlineStr">
        <is>
          <t>convert 6.7 cgpa to percentage, 6.7 cgpa in percent, 6.7 cgpa marks</t>
        </is>
      </c>
      <c r="I345" s="5" t="inlineStr">
        <is>
          <t>CGPA to Percentage Calculator</t>
        </is>
      </c>
      <c r="J345" s="5" t="inlineStr">
        <is>
          <t>/student/cgpa-to-percentage</t>
        </is>
      </c>
      <c r="K345" s="5" t="inlineStr">
        <is>
          <t>Explain how 6.7 CGPA converts to percentage under CBSE (9.5x), AICTE ((CGPA-0.75)*10), VTU, Mumbai University, and standard 10x systems, providing exact percentage outputs.</t>
        </is>
      </c>
      <c r="L345" s="4" t="inlineStr">
        <is>
          <t>YES</t>
        </is>
      </c>
      <c r="M345" s="4" t="inlineStr">
        <is>
          <t>LOW</t>
        </is>
      </c>
      <c r="N345" s="4" t="inlineStr">
        <is>
          <t>READY</t>
        </is>
      </c>
      <c r="O345" s="5" t="inlineStr"/>
      <c r="P345" s="5" t="inlineStr"/>
      <c r="Q345" s="5" t="inlineStr"/>
      <c r="R345" s="5" t="inlineStr"/>
    </row>
    <row r="346" ht="20" customHeight="1">
      <c r="A346" s="2" t="inlineStr">
        <is>
          <t>ST345</t>
        </is>
      </c>
      <c r="B346" s="3" t="inlineStr">
        <is>
          <t>6.9 CGPA to Percentage: Does It Cross the 65% or 60% Barrier?</t>
        </is>
      </c>
      <c r="C346" s="2" t="inlineStr">
        <is>
          <t>Student</t>
        </is>
      </c>
      <c r="D346" s="3" t="inlineStr">
        <is>
          <t>CGPA</t>
        </is>
      </c>
      <c r="E346" s="2" t="inlineStr">
        <is>
          <t>Explanation</t>
        </is>
      </c>
      <c r="F346" s="2" t="inlineStr">
        <is>
          <t>Educational</t>
        </is>
      </c>
      <c r="G346" s="3" t="inlineStr">
        <is>
          <t>6.9 cgpa to percentage</t>
        </is>
      </c>
      <c r="H346" s="3" t="inlineStr">
        <is>
          <t>convert 6.9 cgpa to percentage, 6.9 cgpa in percent, 6.9 cgpa marks</t>
        </is>
      </c>
      <c r="I346" s="3" t="inlineStr">
        <is>
          <t>CGPA to Percentage Calculator</t>
        </is>
      </c>
      <c r="J346" s="3" t="inlineStr">
        <is>
          <t>/student/cgpa-to-percentage</t>
        </is>
      </c>
      <c r="K346" s="3" t="inlineStr">
        <is>
          <t>Explain how 6.9 CGPA converts to percentage under CBSE (9.5x), AICTE ((CGPA-0.75)*10), VTU, Mumbai University, and standard 10x systems, providing exact percentage outputs.</t>
        </is>
      </c>
      <c r="L346" s="2" t="inlineStr">
        <is>
          <t>YES</t>
        </is>
      </c>
      <c r="M346" s="2" t="inlineStr">
        <is>
          <t>MEDIUM</t>
        </is>
      </c>
      <c r="N346" s="2" t="inlineStr">
        <is>
          <t>READY</t>
        </is>
      </c>
      <c r="O346" s="3" t="inlineStr"/>
      <c r="P346" s="3" t="inlineStr"/>
      <c r="Q346" s="3" t="inlineStr"/>
      <c r="R346" s="3" t="inlineStr"/>
    </row>
    <row r="347" ht="20" customHeight="1">
      <c r="A347" s="4" t="inlineStr">
        <is>
          <t>ST346</t>
        </is>
      </c>
      <c r="B347" s="5" t="inlineStr">
        <is>
          <t>7.1 CGPA to Percentage: Converting for State Government Job Applications</t>
        </is>
      </c>
      <c r="C347" s="4" t="inlineStr">
        <is>
          <t>Student</t>
        </is>
      </c>
      <c r="D347" s="5" t="inlineStr">
        <is>
          <t>CGPA</t>
        </is>
      </c>
      <c r="E347" s="4" t="inlineStr">
        <is>
          <t>Explanation</t>
        </is>
      </c>
      <c r="F347" s="4" t="inlineStr">
        <is>
          <t>Educational</t>
        </is>
      </c>
      <c r="G347" s="5" t="inlineStr">
        <is>
          <t>7.1 cgpa to percentage</t>
        </is>
      </c>
      <c r="H347" s="5" t="inlineStr">
        <is>
          <t>convert 7.1 cgpa to percentage, 7.1 cgpa in percent, 7.1 cgpa marks</t>
        </is>
      </c>
      <c r="I347" s="5" t="inlineStr">
        <is>
          <t>CGPA to Percentage Calculator</t>
        </is>
      </c>
      <c r="J347" s="5" t="inlineStr">
        <is>
          <t>/student/cgpa-to-percentage</t>
        </is>
      </c>
      <c r="K347" s="5" t="inlineStr">
        <is>
          <t>Explain how 7.1 CGPA converts to percentage under CBSE (9.5x), AICTE ((CGPA-0.75)*10), VTU, Mumbai University, and standard 10x systems, providing exact percentage outputs.</t>
        </is>
      </c>
      <c r="L347" s="4" t="inlineStr">
        <is>
          <t>YES</t>
        </is>
      </c>
      <c r="M347" s="4" t="inlineStr">
        <is>
          <t>LOW</t>
        </is>
      </c>
      <c r="N347" s="4" t="inlineStr">
        <is>
          <t>READY</t>
        </is>
      </c>
      <c r="O347" s="5" t="inlineStr"/>
      <c r="P347" s="5" t="inlineStr"/>
      <c r="Q347" s="5" t="inlineStr"/>
      <c r="R347" s="5" t="inlineStr"/>
    </row>
    <row r="348" ht="20" customHeight="1">
      <c r="A348" s="2" t="inlineStr">
        <is>
          <t>ST347</t>
        </is>
      </c>
      <c r="B348" s="3" t="inlineStr">
        <is>
          <t>7.3 CGPA to Percentage: Official Multipliers Across Major State Universities</t>
        </is>
      </c>
      <c r="C348" s="2" t="inlineStr">
        <is>
          <t>Student</t>
        </is>
      </c>
      <c r="D348" s="3" t="inlineStr">
        <is>
          <t>CGPA</t>
        </is>
      </c>
      <c r="E348" s="2" t="inlineStr">
        <is>
          <t>Explanation</t>
        </is>
      </c>
      <c r="F348" s="2" t="inlineStr">
        <is>
          <t>Educational</t>
        </is>
      </c>
      <c r="G348" s="3" t="inlineStr">
        <is>
          <t>7.3 cgpa to percentage</t>
        </is>
      </c>
      <c r="H348" s="3" t="inlineStr">
        <is>
          <t>convert 7.3 cgpa to percentage, 7.3 cgpa in percent, 7.3 cgpa marks</t>
        </is>
      </c>
      <c r="I348" s="3" t="inlineStr">
        <is>
          <t>CGPA to Percentage Calculator</t>
        </is>
      </c>
      <c r="J348" s="3" t="inlineStr">
        <is>
          <t>/student/cgpa-to-percentage</t>
        </is>
      </c>
      <c r="K348" s="3" t="inlineStr">
        <is>
          <t>Explain how 7.3 CGPA converts to percentage under CBSE (9.5x), AICTE ((CGPA-0.75)*10), VTU, Mumbai University, and standard 10x systems, providing exact percentage outputs.</t>
        </is>
      </c>
      <c r="L348" s="2" t="inlineStr">
        <is>
          <t>YES</t>
        </is>
      </c>
      <c r="M348" s="2" t="inlineStr">
        <is>
          <t>LOW</t>
        </is>
      </c>
      <c r="N348" s="2" t="inlineStr">
        <is>
          <t>READY</t>
        </is>
      </c>
      <c r="O348" s="3" t="inlineStr"/>
      <c r="P348" s="3" t="inlineStr"/>
      <c r="Q348" s="3" t="inlineStr"/>
      <c r="R348" s="3" t="inlineStr"/>
    </row>
    <row r="349" ht="20" customHeight="1">
      <c r="A349" s="4" t="inlineStr">
        <is>
          <t>ST348</t>
        </is>
      </c>
      <c r="B349" s="5" t="inlineStr">
        <is>
          <t>7.7 CGPA to Percentage: Academic Breakdown for Resume and Cover Letter</t>
        </is>
      </c>
      <c r="C349" s="4" t="inlineStr">
        <is>
          <t>Student</t>
        </is>
      </c>
      <c r="D349" s="5" t="inlineStr">
        <is>
          <t>CGPA</t>
        </is>
      </c>
      <c r="E349" s="4" t="inlineStr">
        <is>
          <t>Explanation</t>
        </is>
      </c>
      <c r="F349" s="4" t="inlineStr">
        <is>
          <t>Educational</t>
        </is>
      </c>
      <c r="G349" s="5" t="inlineStr">
        <is>
          <t>7.7 cgpa to percentage</t>
        </is>
      </c>
      <c r="H349" s="5" t="inlineStr">
        <is>
          <t>convert 7.7 cgpa to percentage, 7.7 cgpa in percent, 7.7 cgpa marks</t>
        </is>
      </c>
      <c r="I349" s="5" t="inlineStr">
        <is>
          <t>CGPA to Percentage Calculator</t>
        </is>
      </c>
      <c r="J349" s="5" t="inlineStr">
        <is>
          <t>/student/cgpa-to-percentage</t>
        </is>
      </c>
      <c r="K349" s="5" t="inlineStr">
        <is>
          <t>Explain how 7.7 CGPA converts to percentage under CBSE (9.5x), AICTE ((CGPA-0.75)*10), VTU, Mumbai University, and standard 10x systems, providing exact percentage outputs.</t>
        </is>
      </c>
      <c r="L349" s="4" t="inlineStr">
        <is>
          <t>YES</t>
        </is>
      </c>
      <c r="M349" s="4" t="inlineStr">
        <is>
          <t>LOW</t>
        </is>
      </c>
      <c r="N349" s="4" t="inlineStr">
        <is>
          <t>READY</t>
        </is>
      </c>
      <c r="O349" s="5" t="inlineStr"/>
      <c r="P349" s="5" t="inlineStr"/>
      <c r="Q349" s="5" t="inlineStr"/>
      <c r="R349" s="5" t="inlineStr"/>
    </row>
    <row r="350" ht="20" customHeight="1">
      <c r="A350" s="2" t="inlineStr">
        <is>
          <t>ST349</t>
        </is>
      </c>
      <c r="B350" s="3" t="inlineStr">
        <is>
          <t>7.9 CGPA to Percentage: Borderline 8.0 Analysis and Percentage Translation</t>
        </is>
      </c>
      <c r="C350" s="2" t="inlineStr">
        <is>
          <t>Student</t>
        </is>
      </c>
      <c r="D350" s="3" t="inlineStr">
        <is>
          <t>CGPA</t>
        </is>
      </c>
      <c r="E350" s="2" t="inlineStr">
        <is>
          <t>Explanation</t>
        </is>
      </c>
      <c r="F350" s="2" t="inlineStr">
        <is>
          <t>Educational</t>
        </is>
      </c>
      <c r="G350" s="3" t="inlineStr">
        <is>
          <t>7.9 cgpa to percentage</t>
        </is>
      </c>
      <c r="H350" s="3" t="inlineStr">
        <is>
          <t>convert 7.9 cgpa to percentage, 7.9 cgpa in percent, 7.9 cgpa marks</t>
        </is>
      </c>
      <c r="I350" s="3" t="inlineStr">
        <is>
          <t>CGPA to Percentage Calculator</t>
        </is>
      </c>
      <c r="J350" s="3" t="inlineStr">
        <is>
          <t>/student/cgpa-to-percentage</t>
        </is>
      </c>
      <c r="K350" s="3" t="inlineStr">
        <is>
          <t>Explain how 7.9 CGPA converts to percentage under CBSE (9.5x), AICTE ((CGPA-0.75)*10), VTU, Mumbai University, and standard 10x systems, providing exact percentage outputs.</t>
        </is>
      </c>
      <c r="L350" s="2" t="inlineStr">
        <is>
          <t>YES</t>
        </is>
      </c>
      <c r="M350" s="2" t="inlineStr">
        <is>
          <t>MEDIUM</t>
        </is>
      </c>
      <c r="N350" s="2" t="inlineStr">
        <is>
          <t>READY</t>
        </is>
      </c>
      <c r="O350" s="3" t="inlineStr"/>
      <c r="P350" s="3" t="inlineStr"/>
      <c r="Q350" s="3" t="inlineStr"/>
      <c r="R350" s="3" t="inlineStr"/>
    </row>
    <row r="351" ht="20" customHeight="1">
      <c r="A351" s="4" t="inlineStr">
        <is>
          <t>ST350</t>
        </is>
      </c>
      <c r="B351" s="5" t="inlineStr">
        <is>
          <t>8.1 CGPA to Percentage: Calculating Equivalent Percentage for Gate and IES</t>
        </is>
      </c>
      <c r="C351" s="4" t="inlineStr">
        <is>
          <t>Student</t>
        </is>
      </c>
      <c r="D351" s="5" t="inlineStr">
        <is>
          <t>CGPA</t>
        </is>
      </c>
      <c r="E351" s="4" t="inlineStr">
        <is>
          <t>Explanation</t>
        </is>
      </c>
      <c r="F351" s="4" t="inlineStr">
        <is>
          <t>Educational</t>
        </is>
      </c>
      <c r="G351" s="5" t="inlineStr">
        <is>
          <t>8.1 cgpa to percentage</t>
        </is>
      </c>
      <c r="H351" s="5" t="inlineStr">
        <is>
          <t>convert 8.1 cgpa to percentage, 8.1 cgpa in percent, 8.1 cgpa marks</t>
        </is>
      </c>
      <c r="I351" s="5" t="inlineStr">
        <is>
          <t>CGPA to Percentage Calculator</t>
        </is>
      </c>
      <c r="J351" s="5" t="inlineStr">
        <is>
          <t>/student/cgpa-to-percentage</t>
        </is>
      </c>
      <c r="K351" s="5" t="inlineStr">
        <is>
          <t>Explain how 8.1 CGPA converts to percentage under CBSE (9.5x), AICTE ((CGPA-0.75)*10), VTU, Mumbai University, and standard 10x systems, providing exact percentage outputs.</t>
        </is>
      </c>
      <c r="L351" s="4" t="inlineStr">
        <is>
          <t>YES</t>
        </is>
      </c>
      <c r="M351" s="4" t="inlineStr">
        <is>
          <t>LOW</t>
        </is>
      </c>
      <c r="N351" s="4" t="inlineStr">
        <is>
          <t>READY</t>
        </is>
      </c>
      <c r="O351" s="5" t="inlineStr"/>
      <c r="P351" s="5" t="inlineStr"/>
      <c r="Q351" s="5" t="inlineStr"/>
      <c r="R351" s="5" t="inlineStr"/>
    </row>
    <row r="352" ht="20" customHeight="1">
      <c r="A352" s="2" t="inlineStr">
        <is>
          <t>ST351</t>
        </is>
      </c>
      <c r="B352" s="3" t="inlineStr">
        <is>
          <t>8.3 CGPA to Percentage: Step-by-Step Mathematical Calculation</t>
        </is>
      </c>
      <c r="C352" s="2" t="inlineStr">
        <is>
          <t>Student</t>
        </is>
      </c>
      <c r="D352" s="3" t="inlineStr">
        <is>
          <t>CGPA</t>
        </is>
      </c>
      <c r="E352" s="2" t="inlineStr">
        <is>
          <t>Explanation</t>
        </is>
      </c>
      <c r="F352" s="2" t="inlineStr">
        <is>
          <t>Educational</t>
        </is>
      </c>
      <c r="G352" s="3" t="inlineStr">
        <is>
          <t>8.3 cgpa to percentage</t>
        </is>
      </c>
      <c r="H352" s="3" t="inlineStr">
        <is>
          <t>convert 8.3 cgpa to percentage, 8.3 cgpa in percent, 8.3 cgpa marks</t>
        </is>
      </c>
      <c r="I352" s="3" t="inlineStr">
        <is>
          <t>CGPA to Percentage Calculator</t>
        </is>
      </c>
      <c r="J352" s="3" t="inlineStr">
        <is>
          <t>/student/cgpa-to-percentage</t>
        </is>
      </c>
      <c r="K352" s="3" t="inlineStr">
        <is>
          <t>Explain how 8.3 CGPA converts to percentage under CBSE (9.5x), AICTE ((CGPA-0.75)*10), VTU, Mumbai University, and standard 10x systems, providing exact percentage outputs.</t>
        </is>
      </c>
      <c r="L352" s="2" t="inlineStr">
        <is>
          <t>YES</t>
        </is>
      </c>
      <c r="M352" s="2" t="inlineStr">
        <is>
          <t>LOW</t>
        </is>
      </c>
      <c r="N352" s="2" t="inlineStr">
        <is>
          <t>READY</t>
        </is>
      </c>
      <c r="O352" s="3" t="inlineStr"/>
      <c r="P352" s="3" t="inlineStr"/>
      <c r="Q352" s="3" t="inlineStr"/>
      <c r="R352" s="3" t="inlineStr"/>
    </row>
    <row r="353" ht="20" customHeight="1">
      <c r="A353" s="4" t="inlineStr">
        <is>
          <t>ST352</t>
        </is>
      </c>
      <c r="B353" s="5" t="inlineStr">
        <is>
          <t>8.7 CGPA to Percentage: High Academic Distinction Conversion</t>
        </is>
      </c>
      <c r="C353" s="4" t="inlineStr">
        <is>
          <t>Student</t>
        </is>
      </c>
      <c r="D353" s="5" t="inlineStr">
        <is>
          <t>CGPA</t>
        </is>
      </c>
      <c r="E353" s="4" t="inlineStr">
        <is>
          <t>Explanation</t>
        </is>
      </c>
      <c r="F353" s="4" t="inlineStr">
        <is>
          <t>Educational</t>
        </is>
      </c>
      <c r="G353" s="5" t="inlineStr">
        <is>
          <t>8.7 cgpa to percentage</t>
        </is>
      </c>
      <c r="H353" s="5" t="inlineStr">
        <is>
          <t>convert 8.7 cgpa to percentage, 8.7 cgpa in percent, 8.7 cgpa marks</t>
        </is>
      </c>
      <c r="I353" s="5" t="inlineStr">
        <is>
          <t>CGPA to Percentage Calculator</t>
        </is>
      </c>
      <c r="J353" s="5" t="inlineStr">
        <is>
          <t>/student/cgpa-to-percentage</t>
        </is>
      </c>
      <c r="K353" s="5" t="inlineStr">
        <is>
          <t>Explain how 8.7 CGPA converts to percentage under CBSE (9.5x), AICTE ((CGPA-0.75)*10), VTU, Mumbai University, and standard 10x systems, providing exact percentage outputs.</t>
        </is>
      </c>
      <c r="L353" s="4" t="inlineStr">
        <is>
          <t>YES</t>
        </is>
      </c>
      <c r="M353" s="4" t="inlineStr">
        <is>
          <t>LOW</t>
        </is>
      </c>
      <c r="N353" s="4" t="inlineStr">
        <is>
          <t>READY</t>
        </is>
      </c>
      <c r="O353" s="5" t="inlineStr"/>
      <c r="P353" s="5" t="inlineStr"/>
      <c r="Q353" s="5" t="inlineStr"/>
      <c r="R353" s="5" t="inlineStr"/>
    </row>
    <row r="354" ht="20" customHeight="1">
      <c r="A354" s="2" t="inlineStr">
        <is>
          <t>ST353</t>
        </is>
      </c>
      <c r="B354" s="3" t="inlineStr">
        <is>
          <t>8.9 CGPA to Percentage: Borderline 9.0 Analysis Across University Rules</t>
        </is>
      </c>
      <c r="C354" s="2" t="inlineStr">
        <is>
          <t>Student</t>
        </is>
      </c>
      <c r="D354" s="3" t="inlineStr">
        <is>
          <t>CGPA</t>
        </is>
      </c>
      <c r="E354" s="2" t="inlineStr">
        <is>
          <t>Explanation</t>
        </is>
      </c>
      <c r="F354" s="2" t="inlineStr">
        <is>
          <t>Educational</t>
        </is>
      </c>
      <c r="G354" s="3" t="inlineStr">
        <is>
          <t>8.9 cgpa to percentage</t>
        </is>
      </c>
      <c r="H354" s="3" t="inlineStr">
        <is>
          <t>convert 8.9 cgpa to percentage, 8.9 cgpa in percent, 8.9 cgpa marks</t>
        </is>
      </c>
      <c r="I354" s="3" t="inlineStr">
        <is>
          <t>CGPA to Percentage Calculator</t>
        </is>
      </c>
      <c r="J354" s="3" t="inlineStr">
        <is>
          <t>/student/cgpa-to-percentage</t>
        </is>
      </c>
      <c r="K354" s="3" t="inlineStr">
        <is>
          <t>Explain how 8.9 CGPA converts to percentage under CBSE (9.5x), AICTE ((CGPA-0.75)*10), VTU, Mumbai University, and standard 10x systems, providing exact percentage outputs.</t>
        </is>
      </c>
      <c r="L354" s="2" t="inlineStr">
        <is>
          <t>YES</t>
        </is>
      </c>
      <c r="M354" s="2" t="inlineStr">
        <is>
          <t>LOW</t>
        </is>
      </c>
      <c r="N354" s="2" t="inlineStr">
        <is>
          <t>READY</t>
        </is>
      </c>
      <c r="O354" s="3" t="inlineStr"/>
      <c r="P354" s="3" t="inlineStr"/>
      <c r="Q354" s="3" t="inlineStr"/>
      <c r="R354" s="3" t="inlineStr"/>
    </row>
    <row r="355" ht="20" customHeight="1">
      <c r="A355" s="4" t="inlineStr">
        <is>
          <t>ST354</t>
        </is>
      </c>
      <c r="B355" s="5" t="inlineStr">
        <is>
          <t>9.1 CGPA to Percentage: Conversion for National Scholarship Applications</t>
        </is>
      </c>
      <c r="C355" s="4" t="inlineStr">
        <is>
          <t>Student</t>
        </is>
      </c>
      <c r="D355" s="5" t="inlineStr">
        <is>
          <t>CGPA</t>
        </is>
      </c>
      <c r="E355" s="4" t="inlineStr">
        <is>
          <t>Explanation</t>
        </is>
      </c>
      <c r="F355" s="4" t="inlineStr">
        <is>
          <t>Educational</t>
        </is>
      </c>
      <c r="G355" s="5" t="inlineStr">
        <is>
          <t>9.1 cgpa to percentage</t>
        </is>
      </c>
      <c r="H355" s="5" t="inlineStr">
        <is>
          <t>convert 9.1 cgpa to percentage, 9.1 cgpa in percent, 9.1 cgpa marks</t>
        </is>
      </c>
      <c r="I355" s="5" t="inlineStr">
        <is>
          <t>CGPA to Percentage Calculator</t>
        </is>
      </c>
      <c r="J355" s="5" t="inlineStr">
        <is>
          <t>/student/cgpa-to-percentage</t>
        </is>
      </c>
      <c r="K355" s="5" t="inlineStr">
        <is>
          <t>Explain how 9.1 CGPA converts to percentage under CBSE (9.5x), AICTE ((CGPA-0.75)*10), VTU, Mumbai University, and standard 10x systems, providing exact percentage outputs.</t>
        </is>
      </c>
      <c r="L355" s="4" t="inlineStr">
        <is>
          <t>YES</t>
        </is>
      </c>
      <c r="M355" s="4" t="inlineStr">
        <is>
          <t>LOW</t>
        </is>
      </c>
      <c r="N355" s="4" t="inlineStr">
        <is>
          <t>READY</t>
        </is>
      </c>
      <c r="O355" s="5" t="inlineStr"/>
      <c r="P355" s="5" t="inlineStr"/>
      <c r="Q355" s="5" t="inlineStr"/>
      <c r="R355" s="5" t="inlineStr"/>
    </row>
    <row r="356" ht="20" customHeight="1">
      <c r="A356" s="2" t="inlineStr">
        <is>
          <t>ST355</t>
        </is>
      </c>
      <c r="B356" s="3" t="inlineStr">
        <is>
          <t>9.3 CGPA to Percentage: Converting Outstanding Academic Performance</t>
        </is>
      </c>
      <c r="C356" s="2" t="inlineStr">
        <is>
          <t>Student</t>
        </is>
      </c>
      <c r="D356" s="3" t="inlineStr">
        <is>
          <t>CGPA</t>
        </is>
      </c>
      <c r="E356" s="2" t="inlineStr">
        <is>
          <t>Explanation</t>
        </is>
      </c>
      <c r="F356" s="2" t="inlineStr">
        <is>
          <t>Educational</t>
        </is>
      </c>
      <c r="G356" s="3" t="inlineStr">
        <is>
          <t>9.3 cgpa to percentage</t>
        </is>
      </c>
      <c r="H356" s="3" t="inlineStr">
        <is>
          <t>convert 9.3 cgpa to percentage, 9.3 cgpa in percent, 9.3 cgpa marks</t>
        </is>
      </c>
      <c r="I356" s="3" t="inlineStr">
        <is>
          <t>CGPA to Percentage Calculator</t>
        </is>
      </c>
      <c r="J356" s="3" t="inlineStr">
        <is>
          <t>/student/cgpa-to-percentage</t>
        </is>
      </c>
      <c r="K356" s="3" t="inlineStr">
        <is>
          <t>Explain how 9.3 CGPA converts to percentage under CBSE (9.5x), AICTE ((CGPA-0.75)*10), VTU, Mumbai University, and standard 10x systems, providing exact percentage outputs.</t>
        </is>
      </c>
      <c r="L356" s="2" t="inlineStr">
        <is>
          <t>YES</t>
        </is>
      </c>
      <c r="M356" s="2" t="inlineStr">
        <is>
          <t>LOW</t>
        </is>
      </c>
      <c r="N356" s="2" t="inlineStr">
        <is>
          <t>READY</t>
        </is>
      </c>
      <c r="O356" s="3" t="inlineStr"/>
      <c r="P356" s="3" t="inlineStr"/>
      <c r="Q356" s="3" t="inlineStr"/>
      <c r="R356" s="3" t="inlineStr"/>
    </row>
    <row r="357" ht="20" customHeight="1">
      <c r="A357" s="4" t="inlineStr">
        <is>
          <t>ST356</t>
        </is>
      </c>
      <c r="B357" s="5" t="inlineStr">
        <is>
          <t>How to Calculate Percentage of a Number: The 3 Core Methods Explained</t>
        </is>
      </c>
      <c r="C357" s="4" t="inlineStr">
        <is>
          <t>Student</t>
        </is>
      </c>
      <c r="D357" s="5" t="inlineStr">
        <is>
          <t>Percentage</t>
        </is>
      </c>
      <c r="E357" s="4" t="inlineStr">
        <is>
          <t>Formula Guide</t>
        </is>
      </c>
      <c r="F357" s="4" t="inlineStr">
        <is>
          <t>How-To</t>
        </is>
      </c>
      <c r="G357" s="5" t="inlineStr">
        <is>
          <t>how to calculate percentage of a number</t>
        </is>
      </c>
      <c r="H357" s="5" t="inlineStr">
        <is>
          <t>percentage formula, finding percent of a number, calculate percentage easily</t>
        </is>
      </c>
      <c r="I357" s="5" t="inlineStr">
        <is>
          <t>Percentage Calculator</t>
        </is>
      </c>
      <c r="J357" s="5" t="inlineStr">
        <is>
          <t>/student/percentage-calculator</t>
        </is>
      </c>
      <c r="K357" s="5" t="inlineStr">
        <is>
          <t>Break down decimal multiplication, fraction simplification, and mental math 10%/1% benchmark methods with clear step-by-step examples.</t>
        </is>
      </c>
      <c r="L357" s="4" t="inlineStr">
        <is>
          <t>YES</t>
        </is>
      </c>
      <c r="M357" s="4" t="inlineStr">
        <is>
          <t>HIGH</t>
        </is>
      </c>
      <c r="N357" s="4" t="inlineStr">
        <is>
          <t>READY</t>
        </is>
      </c>
      <c r="O357" s="5" t="inlineStr"/>
      <c r="P357" s="5" t="inlineStr"/>
      <c r="Q357" s="5" t="inlineStr"/>
      <c r="R357" s="5" t="inlineStr"/>
    </row>
    <row r="358" ht="20" customHeight="1">
      <c r="A358" s="2" t="inlineStr">
        <is>
          <t>ST357</t>
        </is>
      </c>
      <c r="B358" s="3" t="inlineStr">
        <is>
          <t>Percentage Increase Formula with Real-Life Examples and Step-by-Step Solutions</t>
        </is>
      </c>
      <c r="C358" s="2" t="inlineStr">
        <is>
          <t>Student</t>
        </is>
      </c>
      <c r="D358" s="3" t="inlineStr">
        <is>
          <t>Percentage</t>
        </is>
      </c>
      <c r="E358" s="2" t="inlineStr">
        <is>
          <t>Formula Guide</t>
        </is>
      </c>
      <c r="F358" s="2" t="inlineStr">
        <is>
          <t>How-To</t>
        </is>
      </c>
      <c r="G358" s="3" t="inlineStr">
        <is>
          <t>percentage increase formula</t>
        </is>
      </c>
      <c r="H358" s="3" t="inlineStr">
        <is>
          <t>how to calculate percent increase, percentage growth formula, percentage increase example</t>
        </is>
      </c>
      <c r="I358" s="3" t="inlineStr">
        <is>
          <t>Percentage Calculator</t>
        </is>
      </c>
      <c r="J358" s="3" t="inlineStr">
        <is>
          <t>/student/percentage-calculator</t>
        </is>
      </c>
      <c r="K358" s="3" t="inlineStr">
        <is>
          <t>Formula: ((New Value - Old Value) / Old Value) * 100. Provide clear examples for marks improvement, price inflation, and population growth.</t>
        </is>
      </c>
      <c r="L358" s="2" t="inlineStr">
        <is>
          <t>YES</t>
        </is>
      </c>
      <c r="M358" s="2" t="inlineStr">
        <is>
          <t>HIGH</t>
        </is>
      </c>
      <c r="N358" s="2" t="inlineStr">
        <is>
          <t>READY</t>
        </is>
      </c>
      <c r="O358" s="3" t="inlineStr"/>
      <c r="P358" s="3" t="inlineStr"/>
      <c r="Q358" s="3" t="inlineStr"/>
      <c r="R358" s="3" t="inlineStr"/>
    </row>
    <row r="359" ht="20" customHeight="1">
      <c r="A359" s="4" t="inlineStr">
        <is>
          <t>ST358</t>
        </is>
      </c>
      <c r="B359" s="5" t="inlineStr">
        <is>
          <t>Percentage Decrease Formula: How to Calculate Reductions and Drops</t>
        </is>
      </c>
      <c r="C359" s="4" t="inlineStr">
        <is>
          <t>Student</t>
        </is>
      </c>
      <c r="D359" s="5" t="inlineStr">
        <is>
          <t>Percentage</t>
        </is>
      </c>
      <c r="E359" s="4" t="inlineStr">
        <is>
          <t>Formula Guide</t>
        </is>
      </c>
      <c r="F359" s="4" t="inlineStr">
        <is>
          <t>How-To</t>
        </is>
      </c>
      <c r="G359" s="5" t="inlineStr">
        <is>
          <t>percentage decrease formula</t>
        </is>
      </c>
      <c r="H359" s="5" t="inlineStr">
        <is>
          <t>how to calculate percent decrease, percentage drop formula, percent reduction calculation</t>
        </is>
      </c>
      <c r="I359" s="5" t="inlineStr">
        <is>
          <t>Percentage Calculator</t>
        </is>
      </c>
      <c r="J359" s="5" t="inlineStr">
        <is>
          <t>/student/percentage-calculator</t>
        </is>
      </c>
      <c r="K359" s="5" t="inlineStr">
        <is>
          <t>Formula: ((Old Value - New Value) / Old Value) * 100. Explain why the denominator is always the original initial value, not the reduced value.</t>
        </is>
      </c>
      <c r="L359" s="4" t="inlineStr">
        <is>
          <t>YES</t>
        </is>
      </c>
      <c r="M359" s="4" t="inlineStr">
        <is>
          <t>HIGH</t>
        </is>
      </c>
      <c r="N359" s="4" t="inlineStr">
        <is>
          <t>READY</t>
        </is>
      </c>
      <c r="O359" s="5" t="inlineStr"/>
      <c r="P359" s="5" t="inlineStr"/>
      <c r="Q359" s="5" t="inlineStr"/>
      <c r="R359" s="5" t="inlineStr"/>
    </row>
    <row r="360" ht="20" customHeight="1">
      <c r="A360" s="2" t="inlineStr">
        <is>
          <t>ST359</t>
        </is>
      </c>
      <c r="B360" s="3" t="inlineStr">
        <is>
          <t>Percentage Difference vs Percentage Change: Understanding the Mathematical Difference</t>
        </is>
      </c>
      <c r="C360" s="2" t="inlineStr">
        <is>
          <t>Student</t>
        </is>
      </c>
      <c r="D360" s="3" t="inlineStr">
        <is>
          <t>Percentage</t>
        </is>
      </c>
      <c r="E360" s="2" t="inlineStr">
        <is>
          <t>Comparison</t>
        </is>
      </c>
      <c r="F360" s="2" t="inlineStr">
        <is>
          <t>Educational</t>
        </is>
      </c>
      <c r="G360" s="3" t="inlineStr">
        <is>
          <t>percentage difference vs percentage change</t>
        </is>
      </c>
      <c r="H360" s="3" t="inlineStr">
        <is>
          <t>difference between percent change and difference, relative difference formula, when to use percentage difference</t>
        </is>
      </c>
      <c r="I360" s="3" t="inlineStr">
        <is>
          <t>Percentage Calculator</t>
        </is>
      </c>
      <c r="J360" s="3" t="inlineStr">
        <is>
          <t>/student/percentage-calculator</t>
        </is>
      </c>
      <c r="K360" s="3" t="inlineStr">
        <is>
          <t>Clarify directionality: percentage change has an arrow of time (old to new), while percentage difference compares two unordered values using their average.</t>
        </is>
      </c>
      <c r="L360" s="2" t="inlineStr">
        <is>
          <t>YES</t>
        </is>
      </c>
      <c r="M360" s="2" t="inlineStr">
        <is>
          <t>HIGH</t>
        </is>
      </c>
      <c r="N360" s="2" t="inlineStr">
        <is>
          <t>READY</t>
        </is>
      </c>
      <c r="O360" s="3" t="inlineStr"/>
      <c r="P360" s="3" t="inlineStr"/>
      <c r="Q360" s="3" t="inlineStr"/>
      <c r="R360" s="3" t="inlineStr"/>
    </row>
    <row r="361" ht="20" customHeight="1">
      <c r="A361" s="4" t="inlineStr">
        <is>
          <t>ST360</t>
        </is>
      </c>
      <c r="B361" s="5" t="inlineStr">
        <is>
          <t>How to Calculate Reverse Percentage: Finding the Original Value Before a Percentage Change</t>
        </is>
      </c>
      <c r="C361" s="4" t="inlineStr">
        <is>
          <t>Student</t>
        </is>
      </c>
      <c r="D361" s="5" t="inlineStr">
        <is>
          <t>Percentage</t>
        </is>
      </c>
      <c r="E361" s="4" t="inlineStr">
        <is>
          <t>Formula Guide</t>
        </is>
      </c>
      <c r="F361" s="4" t="inlineStr">
        <is>
          <t>How-To</t>
        </is>
      </c>
      <c r="G361" s="5" t="inlineStr">
        <is>
          <t>how to calculate reverse percentage</t>
        </is>
      </c>
      <c r="H361" s="5" t="inlineStr">
        <is>
          <t>reverse percentage formula, finding original price before increase, backward percentage calculation</t>
        </is>
      </c>
      <c r="I361" s="5" t="inlineStr">
        <is>
          <t>Percentage Calculator</t>
        </is>
      </c>
      <c r="J361" s="5" t="inlineStr">
        <is>
          <t>/student/percentage-calculator</t>
        </is>
      </c>
      <c r="K361" s="5" t="inlineStr">
        <is>
          <t>Solve: Final Value = Original * (1 + r/100) -&gt; Original = Final / (1 + r/100). Address common mistake of simply subtracting r% from final value.</t>
        </is>
      </c>
      <c r="L361" s="4" t="inlineStr">
        <is>
          <t>YES</t>
        </is>
      </c>
      <c r="M361" s="4" t="inlineStr">
        <is>
          <t>HIGH</t>
        </is>
      </c>
      <c r="N361" s="4" t="inlineStr">
        <is>
          <t>READY</t>
        </is>
      </c>
      <c r="O361" s="5" t="inlineStr"/>
      <c r="P361" s="5" t="inlineStr"/>
      <c r="Q361" s="5" t="inlineStr"/>
      <c r="R361" s="5" t="inlineStr"/>
    </row>
    <row r="362" ht="20" customHeight="1">
      <c r="A362" s="2" t="inlineStr">
        <is>
          <t>ST361</t>
        </is>
      </c>
      <c r="B362" s="3" t="inlineStr">
        <is>
          <t>Mental Math Tricks: How to Calculate 15%, 20%, and 35% in Your Head in Seconds</t>
        </is>
      </c>
      <c r="C362" s="2" t="inlineStr">
        <is>
          <t>Student</t>
        </is>
      </c>
      <c r="D362" s="3" t="inlineStr">
        <is>
          <t>Percentage</t>
        </is>
      </c>
      <c r="E362" s="2" t="inlineStr">
        <is>
          <t>Guide</t>
        </is>
      </c>
      <c r="F362" s="2" t="inlineStr">
        <is>
          <t>How-To</t>
        </is>
      </c>
      <c r="G362" s="3" t="inlineStr">
        <is>
          <t>mental math tricks for percentage</t>
        </is>
      </c>
      <c r="H362" s="3" t="inlineStr">
        <is>
          <t>calculate percentage in mind, fast percentage tricks, 10 percent rule mental math</t>
        </is>
      </c>
      <c r="I362" s="3" t="inlineStr">
        <is>
          <t>Percentage Calculator</t>
        </is>
      </c>
      <c r="J362" s="3" t="inlineStr">
        <is>
          <t>/student/percentage-calculator</t>
        </is>
      </c>
      <c r="K362" s="3" t="inlineStr">
        <is>
          <t>Teach the 10% and 1% building block method: how 15% is 10% + half of 10%, and 35% is 3 * 10% + 5%.</t>
        </is>
      </c>
      <c r="L362" s="2" t="inlineStr">
        <is>
          <t>YES</t>
        </is>
      </c>
      <c r="M362" s="2" t="inlineStr">
        <is>
          <t>HIGH</t>
        </is>
      </c>
      <c r="N362" s="2" t="inlineStr">
        <is>
          <t>READY</t>
        </is>
      </c>
      <c r="O362" s="3" t="inlineStr"/>
      <c r="P362" s="3" t="inlineStr"/>
      <c r="Q362" s="3" t="inlineStr"/>
      <c r="R362" s="3" t="inlineStr"/>
    </row>
    <row r="363" ht="20" customHeight="1">
      <c r="A363" s="4" t="inlineStr">
        <is>
          <t>ST362</t>
        </is>
      </c>
      <c r="B363" s="5" t="inlineStr">
        <is>
          <t>Why Percentage of Marks Is Often Confused with Percentile: A Clear Distinction</t>
        </is>
      </c>
      <c r="C363" s="4" t="inlineStr">
        <is>
          <t>Student</t>
        </is>
      </c>
      <c r="D363" s="5" t="inlineStr">
        <is>
          <t>Percentage</t>
        </is>
      </c>
      <c r="E363" s="4" t="inlineStr">
        <is>
          <t>Comparison</t>
        </is>
      </c>
      <c r="F363" s="4" t="inlineStr">
        <is>
          <t>Educational</t>
        </is>
      </c>
      <c r="G363" s="5" t="inlineStr">
        <is>
          <t>percentage of marks vs percentile</t>
        </is>
      </c>
      <c r="H363" s="5" t="inlineStr">
        <is>
          <t>why percentile is not percentage, difference between marks percentage and percentile, exam score confusion</t>
        </is>
      </c>
      <c r="I363" s="5" t="inlineStr">
        <is>
          <t>Percentage Calculator</t>
        </is>
      </c>
      <c r="J363" s="5" t="inlineStr">
        <is>
          <t>/student/percentage-calculator</t>
        </is>
      </c>
      <c r="K363" s="5" t="inlineStr">
        <is>
          <t>Demonstrate why scoring 80% marks in a difficult exam can place a student at 99 percentile, and why the two metrics measure fundamentally different things.</t>
        </is>
      </c>
      <c r="L363" s="4" t="inlineStr">
        <is>
          <t>YES</t>
        </is>
      </c>
      <c r="M363" s="4" t="inlineStr">
        <is>
          <t>HIGH</t>
        </is>
      </c>
      <c r="N363" s="4" t="inlineStr">
        <is>
          <t>READY</t>
        </is>
      </c>
      <c r="O363" s="5" t="inlineStr"/>
      <c r="P363" s="5" t="inlineStr"/>
      <c r="Q363" s="5" t="inlineStr"/>
      <c r="R363" s="5" t="inlineStr"/>
    </row>
    <row r="364" ht="20" customHeight="1">
      <c r="A364" s="2" t="inlineStr">
        <is>
          <t>ST363</t>
        </is>
      </c>
      <c r="B364" s="3" t="inlineStr">
        <is>
          <t>How to Calculate Percentage of Multiple Subjects with Unequal Maximum Marks</t>
        </is>
      </c>
      <c r="C364" s="2" t="inlineStr">
        <is>
          <t>Student</t>
        </is>
      </c>
      <c r="D364" s="3" t="inlineStr">
        <is>
          <t>Percentage</t>
        </is>
      </c>
      <c r="E364" s="2" t="inlineStr">
        <is>
          <t>How-To</t>
        </is>
      </c>
      <c r="F364" s="2" t="inlineStr">
        <is>
          <t>How-To</t>
        </is>
      </c>
      <c r="G364" s="3" t="inlineStr">
        <is>
          <t>percentage with different total marks per subject</t>
        </is>
      </c>
      <c r="H364" s="3" t="inlineStr">
        <is>
          <t>calculating percentage unequal maximum marks, weighted subject percentage, total marks percentage</t>
        </is>
      </c>
      <c r="I364" s="3" t="inlineStr">
        <is>
          <t>Marks Percentage Calculator</t>
        </is>
      </c>
      <c r="J364" s="3" t="inlineStr">
        <is>
          <t>/student/marks-percentage</t>
        </is>
      </c>
      <c r="K364" s="3" t="inlineStr">
        <is>
          <t>Explain why averaging subject percentages produces incorrect results when maximum marks vary (e.g. 100 marks vs 50 marks vs 25 marks).</t>
        </is>
      </c>
      <c r="L364" s="2" t="inlineStr">
        <is>
          <t>YES</t>
        </is>
      </c>
      <c r="M364" s="2" t="inlineStr">
        <is>
          <t>HIGH</t>
        </is>
      </c>
      <c r="N364" s="2" t="inlineStr">
        <is>
          <t>READY</t>
        </is>
      </c>
      <c r="O364" s="3" t="inlineStr"/>
      <c r="P364" s="3" t="inlineStr"/>
      <c r="Q364" s="3" t="inlineStr"/>
      <c r="R364" s="3" t="inlineStr"/>
    </row>
    <row r="365" ht="20" customHeight="1">
      <c r="A365" s="4" t="inlineStr">
        <is>
          <t>ST364</t>
        </is>
      </c>
      <c r="B365" s="5" t="inlineStr">
        <is>
          <t>Successive Percentage Changes: Why +20% Followed by -20% Does Not Equal 0%</t>
        </is>
      </c>
      <c r="C365" s="4" t="inlineStr">
        <is>
          <t>Student</t>
        </is>
      </c>
      <c r="D365" s="5" t="inlineStr">
        <is>
          <t>Percentage</t>
        </is>
      </c>
      <c r="E365" s="4" t="inlineStr">
        <is>
          <t>Explanation</t>
        </is>
      </c>
      <c r="F365" s="4" t="inlineStr">
        <is>
          <t>Educational</t>
        </is>
      </c>
      <c r="G365" s="5" t="inlineStr">
        <is>
          <t>successive percentage change formula</t>
        </is>
      </c>
      <c r="H365" s="5" t="inlineStr">
        <is>
          <t>why 20 increase and 20 decrease is not zero, net percentage change, consecutive percentage math</t>
        </is>
      </c>
      <c r="I365" s="5" t="inlineStr">
        <is>
          <t>Percentage Calculator</t>
        </is>
      </c>
      <c r="J365" s="5" t="inlineStr">
        <is>
          <t>/student/percentage-calculator</t>
        </is>
      </c>
      <c r="K365" s="5" t="inlineStr">
        <is>
          <t>Prove algebraically that (1 + 0.20) * (1 - 0.20) = 0.96 (a net 4% loss). Introduce the general formula: a + b + (ab/100).</t>
        </is>
      </c>
      <c r="L365" s="4" t="inlineStr">
        <is>
          <t>YES</t>
        </is>
      </c>
      <c r="M365" s="4" t="inlineStr">
        <is>
          <t>HIGH</t>
        </is>
      </c>
      <c r="N365" s="4" t="inlineStr">
        <is>
          <t>READY</t>
        </is>
      </c>
      <c r="O365" s="5" t="inlineStr"/>
      <c r="P365" s="5" t="inlineStr"/>
      <c r="Q365" s="5" t="inlineStr"/>
      <c r="R365" s="5" t="inlineStr"/>
    </row>
    <row r="366" ht="20" customHeight="1">
      <c r="A366" s="2" t="inlineStr">
        <is>
          <t>ST365</t>
        </is>
      </c>
      <c r="B366" s="3" t="inlineStr">
        <is>
          <t>How to Calculate Compound Percentage Growth Over Multiple Years</t>
        </is>
      </c>
      <c r="C366" s="2" t="inlineStr">
        <is>
          <t>Student</t>
        </is>
      </c>
      <c r="D366" s="3" t="inlineStr">
        <is>
          <t>Percentage</t>
        </is>
      </c>
      <c r="E366" s="2" t="inlineStr">
        <is>
          <t>Formula Guide</t>
        </is>
      </c>
      <c r="F366" s="2" t="inlineStr">
        <is>
          <t>Educational</t>
        </is>
      </c>
      <c r="G366" s="3" t="inlineStr">
        <is>
          <t>compound percentage growth formula</t>
        </is>
      </c>
      <c r="H366" s="3" t="inlineStr">
        <is>
          <t>cagr formula simple, multi year percentage growth, annual percentage compounding</t>
        </is>
      </c>
      <c r="I366" s="3" t="inlineStr">
        <is>
          <t>Percentage Calculator</t>
        </is>
      </c>
      <c r="J366" s="3" t="inlineStr">
        <is>
          <t>/student/percentage-calculator</t>
        </is>
      </c>
      <c r="K366" s="3" t="inlineStr">
        <is>
          <t>Explain CAGR and multi-period compounding: Total Growth = (1 + r)^n - 1, comparing simple additive percentages with compounded compounding.</t>
        </is>
      </c>
      <c r="L366" s="2" t="inlineStr">
        <is>
          <t>YES</t>
        </is>
      </c>
      <c r="M366" s="2" t="inlineStr">
        <is>
          <t>MEDIUM</t>
        </is>
      </c>
      <c r="N366" s="2" t="inlineStr">
        <is>
          <t>READY</t>
        </is>
      </c>
      <c r="O366" s="3" t="inlineStr"/>
      <c r="P366" s="3" t="inlineStr"/>
      <c r="Q366" s="3" t="inlineStr"/>
      <c r="R366" s="3" t="inlineStr"/>
    </row>
    <row r="367" ht="20" customHeight="1">
      <c r="A367" s="4" t="inlineStr">
        <is>
          <t>ST366</t>
        </is>
      </c>
      <c r="B367" s="5" t="inlineStr">
        <is>
          <t>How to Calculate What Percentage One Number Is of Another (X is What % of Y?)</t>
        </is>
      </c>
      <c r="C367" s="4" t="inlineStr">
        <is>
          <t>Student</t>
        </is>
      </c>
      <c r="D367" s="5" t="inlineStr">
        <is>
          <t>Percentage</t>
        </is>
      </c>
      <c r="E367" s="4" t="inlineStr">
        <is>
          <t>Formula Guide</t>
        </is>
      </c>
      <c r="F367" s="4" t="inlineStr">
        <is>
          <t>How-To</t>
        </is>
      </c>
      <c r="G367" s="5" t="inlineStr">
        <is>
          <t>what percentage is x of y formula</t>
        </is>
      </c>
      <c r="H367" s="5" t="inlineStr">
        <is>
          <t>percentage of two numbers formula, calculate x out of y, part to whole percentage</t>
        </is>
      </c>
      <c r="I367" s="5" t="inlineStr">
        <is>
          <t>Percentage Calculator</t>
        </is>
      </c>
      <c r="J367" s="5" t="inlineStr">
        <is>
          <t>/student/percentage-calculator</t>
        </is>
      </c>
      <c r="K367" s="5" t="inlineStr">
        <is>
          <t>Formula: (X / Y) * 100. Step-by-step worked examples for test scores, monthly expenditures, and survey fractions.</t>
        </is>
      </c>
      <c r="L367" s="4" t="inlineStr">
        <is>
          <t>YES</t>
        </is>
      </c>
      <c r="M367" s="4" t="inlineStr">
        <is>
          <t>HIGH</t>
        </is>
      </c>
      <c r="N367" s="4" t="inlineStr">
        <is>
          <t>READY</t>
        </is>
      </c>
      <c r="O367" s="5" t="inlineStr"/>
      <c r="P367" s="5" t="inlineStr"/>
      <c r="Q367" s="5" t="inlineStr"/>
      <c r="R367" s="5" t="inlineStr"/>
    </row>
    <row r="368" ht="20" customHeight="1">
      <c r="A368" s="2" t="inlineStr">
        <is>
          <t>ST367</t>
        </is>
      </c>
      <c r="B368" s="3" t="inlineStr">
        <is>
          <t>How to Add a Percentage to a Number: Fast Formula and Multipliers</t>
        </is>
      </c>
      <c r="C368" s="2" t="inlineStr">
        <is>
          <t>Student</t>
        </is>
      </c>
      <c r="D368" s="3" t="inlineStr">
        <is>
          <t>Percentage</t>
        </is>
      </c>
      <c r="E368" s="2" t="inlineStr">
        <is>
          <t>Formula Guide</t>
        </is>
      </c>
      <c r="F368" s="2" t="inlineStr">
        <is>
          <t>How-To</t>
        </is>
      </c>
      <c r="G368" s="3" t="inlineStr">
        <is>
          <t>how to add percentage to a number</t>
        </is>
      </c>
      <c r="H368" s="3" t="inlineStr">
        <is>
          <t>adding percentage formula, percentage increase multiplier, number plus percentage</t>
        </is>
      </c>
      <c r="I368" s="3" t="inlineStr">
        <is>
          <t>Percentage Calculator</t>
        </is>
      </c>
      <c r="J368" s="3" t="inlineStr">
        <is>
          <t>/student/percentage-calculator</t>
        </is>
      </c>
      <c r="K368" s="3" t="inlineStr">
        <is>
          <t>Demonstrate decimal multiplier method: multiplying by 1.18 to add 18% directly in a single calculation rather than two separate steps.</t>
        </is>
      </c>
      <c r="L368" s="2" t="inlineStr">
        <is>
          <t>YES</t>
        </is>
      </c>
      <c r="M368" s="2" t="inlineStr">
        <is>
          <t>HIGH</t>
        </is>
      </c>
      <c r="N368" s="2" t="inlineStr">
        <is>
          <t>READY</t>
        </is>
      </c>
      <c r="O368" s="3" t="inlineStr"/>
      <c r="P368" s="3" t="inlineStr"/>
      <c r="Q368" s="3" t="inlineStr"/>
      <c r="R368" s="3" t="inlineStr"/>
    </row>
    <row r="369" ht="20" customHeight="1">
      <c r="A369" s="4" t="inlineStr">
        <is>
          <t>ST368</t>
        </is>
      </c>
      <c r="B369" s="5" t="inlineStr">
        <is>
          <t>How to Subtract a Percentage from a Number: The One-Step Multiplier Method</t>
        </is>
      </c>
      <c r="C369" s="4" t="inlineStr">
        <is>
          <t>Student</t>
        </is>
      </c>
      <c r="D369" s="5" t="inlineStr">
        <is>
          <t>Percentage</t>
        </is>
      </c>
      <c r="E369" s="4" t="inlineStr">
        <is>
          <t>Formula Guide</t>
        </is>
      </c>
      <c r="F369" s="4" t="inlineStr">
        <is>
          <t>How-To</t>
        </is>
      </c>
      <c r="G369" s="5" t="inlineStr">
        <is>
          <t>how to subtract percentage from a number</t>
        </is>
      </c>
      <c r="H369" s="5" t="inlineStr">
        <is>
          <t>subtracting percentage formula, discount multiplier, number minus percentage</t>
        </is>
      </c>
      <c r="I369" s="5" t="inlineStr">
        <is>
          <t>Percentage Calculator</t>
        </is>
      </c>
      <c r="J369" s="5" t="inlineStr">
        <is>
          <t>/student/percentage-calculator</t>
        </is>
      </c>
      <c r="K369" s="5" t="inlineStr">
        <is>
          <t>Demonstrate multiplying by (1 - r/100), e.g., multiplying by 0.80 to deduct 20% in shopping discounts and exam deduction calculations.</t>
        </is>
      </c>
      <c r="L369" s="4" t="inlineStr">
        <is>
          <t>YES</t>
        </is>
      </c>
      <c r="M369" s="4" t="inlineStr">
        <is>
          <t>HIGH</t>
        </is>
      </c>
      <c r="N369" s="4" t="inlineStr">
        <is>
          <t>READY</t>
        </is>
      </c>
      <c r="O369" s="5" t="inlineStr"/>
      <c r="P369" s="5" t="inlineStr"/>
      <c r="Q369" s="5" t="inlineStr"/>
      <c r="R369" s="5" t="inlineStr"/>
    </row>
    <row r="370" ht="20" customHeight="1">
      <c r="A370" s="2" t="inlineStr">
        <is>
          <t>ST369</t>
        </is>
      </c>
      <c r="B370" s="3" t="inlineStr">
        <is>
          <t>Understanding Basis Points (BPS) vs Percentage: What Does 50 BPS Mean?</t>
        </is>
      </c>
      <c r="C370" s="2" t="inlineStr">
        <is>
          <t>Student</t>
        </is>
      </c>
      <c r="D370" s="3" t="inlineStr">
        <is>
          <t>Percentage</t>
        </is>
      </c>
      <c r="E370" s="2" t="inlineStr">
        <is>
          <t>Explanation</t>
        </is>
      </c>
      <c r="F370" s="2" t="inlineStr">
        <is>
          <t>Educational</t>
        </is>
      </c>
      <c r="G370" s="3" t="inlineStr">
        <is>
          <t>basis points vs percentage</t>
        </is>
      </c>
      <c r="H370" s="3" t="inlineStr">
        <is>
          <t>what is 1 basis point, convert bps to percent, basis points explained simple</t>
        </is>
      </c>
      <c r="I370" s="3" t="inlineStr">
        <is>
          <t>Percentage Calculator</t>
        </is>
      </c>
      <c r="J370" s="3" t="inlineStr">
        <is>
          <t>/student/percentage-calculator</t>
        </is>
      </c>
      <c r="K370" s="3" t="inlineStr">
        <is>
          <t>Explain that 1% = 100 basis points, so 50 bps = 0.50%. Clarify why financial institutions and RBI use bps to eliminate ambiguity.</t>
        </is>
      </c>
      <c r="L370" s="2" t="inlineStr">
        <is>
          <t>YES</t>
        </is>
      </c>
      <c r="M370" s="2" t="inlineStr">
        <is>
          <t>MEDIUM</t>
        </is>
      </c>
      <c r="N370" s="2" t="inlineStr">
        <is>
          <t>READY</t>
        </is>
      </c>
      <c r="O370" s="3" t="inlineStr"/>
      <c r="P370" s="3" t="inlineStr"/>
      <c r="Q370" s="3" t="inlineStr"/>
      <c r="R370" s="3" t="inlineStr"/>
    </row>
    <row r="371" ht="20" customHeight="1">
      <c r="A371" s="4" t="inlineStr">
        <is>
          <t>ST370</t>
        </is>
      </c>
      <c r="B371" s="5" t="inlineStr">
        <is>
          <t>Common Mathematical Fallacies: Why You Cannot Average Percentages Directly</t>
        </is>
      </c>
      <c r="C371" s="4" t="inlineStr">
        <is>
          <t>Student</t>
        </is>
      </c>
      <c r="D371" s="5" t="inlineStr">
        <is>
          <t>Percentage</t>
        </is>
      </c>
      <c r="E371" s="4" t="inlineStr">
        <is>
          <t>Explanation</t>
        </is>
      </c>
      <c r="F371" s="4" t="inlineStr">
        <is>
          <t>Educational</t>
        </is>
      </c>
      <c r="G371" s="5" t="inlineStr">
        <is>
          <t>why you cannot average percentages</t>
        </is>
      </c>
      <c r="H371" s="5" t="inlineStr">
        <is>
          <t>averaging percentages mistake, simpson paradox simple, weighted average vs average of percentages</t>
        </is>
      </c>
      <c r="I371" s="5" t="inlineStr">
        <is>
          <t>Percentage Calculator</t>
        </is>
      </c>
      <c r="J371" s="5" t="inlineStr">
        <is>
          <t>/student/percentage-calculator</t>
        </is>
      </c>
      <c r="K371" s="5" t="inlineStr">
        <is>
          <t>Illustrate with Simpson's paradox and unequal base populations why the arithmetic mean of percentages produces mathematically invalid answers.</t>
        </is>
      </c>
      <c r="L371" s="4" t="inlineStr">
        <is>
          <t>YES</t>
        </is>
      </c>
      <c r="M371" s="4" t="inlineStr">
        <is>
          <t>HIGH</t>
        </is>
      </c>
      <c r="N371" s="4" t="inlineStr">
        <is>
          <t>READY</t>
        </is>
      </c>
      <c r="O371" s="5" t="inlineStr"/>
      <c r="P371" s="5" t="inlineStr"/>
      <c r="Q371" s="5" t="inlineStr"/>
      <c r="R371" s="5" t="inlineStr"/>
    </row>
    <row r="372" ht="20" customHeight="1">
      <c r="A372" s="2" t="inlineStr">
        <is>
          <t>ST371</t>
        </is>
      </c>
      <c r="B372" s="3" t="inlineStr">
        <is>
          <t>How to Convert Fractions to Percentages: The Universal Rule and Memorization Chart</t>
        </is>
      </c>
      <c r="C372" s="2" t="inlineStr">
        <is>
          <t>Student</t>
        </is>
      </c>
      <c r="D372" s="3" t="inlineStr">
        <is>
          <t>Percentage</t>
        </is>
      </c>
      <c r="E372" s="2" t="inlineStr">
        <is>
          <t>Formula Guide</t>
        </is>
      </c>
      <c r="F372" s="2" t="inlineStr">
        <is>
          <t>How-To</t>
        </is>
      </c>
      <c r="G372" s="3" t="inlineStr">
        <is>
          <t>how to convert fraction to percentage</t>
        </is>
      </c>
      <c r="H372" s="3" t="inlineStr">
        <is>
          <t>fraction to percent chart, 1/8 as percentage, 3/4 as percentage calculation</t>
        </is>
      </c>
      <c r="I372" s="3" t="inlineStr">
        <is>
          <t>Percentage Calculator</t>
        </is>
      </c>
      <c r="J372" s="3" t="inlineStr">
        <is>
          <t>/student/percentage-calculator</t>
        </is>
      </c>
      <c r="K372" s="3" t="inlineStr">
        <is>
          <t>Provide conversion formula: Fraction * 100%. Include quick-reference table for 1/2, 1/3, 1/4, 1/5, 1/6, 1/7, 1/8, 1/9, 1/12, 1/16.</t>
        </is>
      </c>
      <c r="L372" s="2" t="inlineStr">
        <is>
          <t>YES</t>
        </is>
      </c>
      <c r="M372" s="2" t="inlineStr">
        <is>
          <t>HIGH</t>
        </is>
      </c>
      <c r="N372" s="2" t="inlineStr">
        <is>
          <t>READY</t>
        </is>
      </c>
      <c r="O372" s="3" t="inlineStr"/>
      <c r="P372" s="3" t="inlineStr"/>
      <c r="Q372" s="3" t="inlineStr"/>
      <c r="R372" s="3" t="inlineStr"/>
    </row>
    <row r="373" ht="20" customHeight="1">
      <c r="A373" s="4" t="inlineStr">
        <is>
          <t>ST372</t>
        </is>
      </c>
      <c r="B373" s="5" t="inlineStr">
        <is>
          <t>How to Convert Decimals to Percentages and Vice Versa Instantly</t>
        </is>
      </c>
      <c r="C373" s="4" t="inlineStr">
        <is>
          <t>Student</t>
        </is>
      </c>
      <c r="D373" s="5" t="inlineStr">
        <is>
          <t>Percentage</t>
        </is>
      </c>
      <c r="E373" s="4" t="inlineStr">
        <is>
          <t>How-To</t>
        </is>
      </c>
      <c r="F373" s="4" t="inlineStr">
        <is>
          <t>How-To</t>
        </is>
      </c>
      <c r="G373" s="5" t="inlineStr">
        <is>
          <t>how to convert decimal to percentage</t>
        </is>
      </c>
      <c r="H373" s="5" t="inlineStr">
        <is>
          <t>decimal to percent conversion, 0.05 as percentage, moving decimal point two places</t>
        </is>
      </c>
      <c r="I373" s="5" t="inlineStr">
        <is>
          <t>Percentage Calculator</t>
        </is>
      </c>
      <c r="J373" s="5" t="inlineStr">
        <is>
          <t>/student/percentage-calculator</t>
        </is>
      </c>
      <c r="K373" s="5" t="inlineStr">
        <is>
          <t>Demonstrate the rule of shifting the decimal point two places to the right (and left for reverse), preventing common factor-of-10 errors.</t>
        </is>
      </c>
      <c r="L373" s="4" t="inlineStr">
        <is>
          <t>YES</t>
        </is>
      </c>
      <c r="M373" s="4" t="inlineStr">
        <is>
          <t>MEDIUM</t>
        </is>
      </c>
      <c r="N373" s="4" t="inlineStr">
        <is>
          <t>READY</t>
        </is>
      </c>
      <c r="O373" s="5" t="inlineStr"/>
      <c r="P373" s="5" t="inlineStr"/>
      <c r="Q373" s="5" t="inlineStr"/>
      <c r="R373" s="5" t="inlineStr"/>
    </row>
    <row r="374" ht="20" customHeight="1">
      <c r="A374" s="2" t="inlineStr">
        <is>
          <t>ST373</t>
        </is>
      </c>
      <c r="B374" s="3" t="inlineStr">
        <is>
          <t>Calculating Percentage Error in Experimental Science and Engineering Labs</t>
        </is>
      </c>
      <c r="C374" s="2" t="inlineStr">
        <is>
          <t>Student</t>
        </is>
      </c>
      <c r="D374" s="3" t="inlineStr">
        <is>
          <t>Percentage</t>
        </is>
      </c>
      <c r="E374" s="2" t="inlineStr">
        <is>
          <t>Formula Guide</t>
        </is>
      </c>
      <c r="F374" s="2" t="inlineStr">
        <is>
          <t>How-To</t>
        </is>
      </c>
      <c r="G374" s="3" t="inlineStr">
        <is>
          <t>percentage error formula physics</t>
        </is>
      </c>
      <c r="H374" s="3" t="inlineStr">
        <is>
          <t>how to calculate percent error, experimental error calculation, lab report percentage error</t>
        </is>
      </c>
      <c r="I374" s="3" t="inlineStr">
        <is>
          <t>Percentage Calculator</t>
        </is>
      </c>
      <c r="J374" s="3" t="inlineStr">
        <is>
          <t>/student/percentage-calculator</t>
        </is>
      </c>
      <c r="K374" s="3" t="inlineStr">
        <is>
          <t>Formula: (|Experimental - Theoretical| / Theoretical) * 100. Provide worked physics lab examples for gravitational acceleration 'g' and focal lengths.</t>
        </is>
      </c>
      <c r="L374" s="2" t="inlineStr">
        <is>
          <t>YES</t>
        </is>
      </c>
      <c r="M374" s="2" t="inlineStr">
        <is>
          <t>HIGH</t>
        </is>
      </c>
      <c r="N374" s="2" t="inlineStr">
        <is>
          <t>READY</t>
        </is>
      </c>
      <c r="O374" s="3" t="inlineStr"/>
      <c r="P374" s="3" t="inlineStr"/>
      <c r="Q374" s="3" t="inlineStr"/>
      <c r="R374" s="3" t="inlineStr"/>
    </row>
    <row r="375" ht="20" customHeight="1">
      <c r="A375" s="4" t="inlineStr">
        <is>
          <t>ST374</t>
        </is>
      </c>
      <c r="B375" s="5" t="inlineStr">
        <is>
          <t>How to Calculate Percentage of Marks Scored Out of 500 in Class 10/12</t>
        </is>
      </c>
      <c r="C375" s="4" t="inlineStr">
        <is>
          <t>Student</t>
        </is>
      </c>
      <c r="D375" s="5" t="inlineStr">
        <is>
          <t>Percentage</t>
        </is>
      </c>
      <c r="E375" s="4" t="inlineStr">
        <is>
          <t>How-To</t>
        </is>
      </c>
      <c r="F375" s="4" t="inlineStr">
        <is>
          <t>How-To</t>
        </is>
      </c>
      <c r="G375" s="5" t="inlineStr">
        <is>
          <t>how to calculate percentage out of 500</t>
        </is>
      </c>
      <c r="H375" s="5" t="inlineStr">
        <is>
          <t>marks out of 500 to percentage, 10th marks percentage formula, 500 marks percentage trick</t>
        </is>
      </c>
      <c r="I375" s="5" t="inlineStr">
        <is>
          <t>Marks Percentage Calculator</t>
        </is>
      </c>
      <c r="J375" s="5" t="inlineStr">
        <is>
          <t>/student/marks-percentage</t>
        </is>
      </c>
      <c r="K375" s="5" t="inlineStr">
        <is>
          <t>Fast calculation: Divide total marks by 5. Provide worked examples: 425/500 = 85%, 460/500 = 92%, with step-by-step verification.</t>
        </is>
      </c>
      <c r="L375" s="4" t="inlineStr">
        <is>
          <t>YES</t>
        </is>
      </c>
      <c r="M375" s="4" t="inlineStr">
        <is>
          <t>HIGH</t>
        </is>
      </c>
      <c r="N375" s="4" t="inlineStr">
        <is>
          <t>READY</t>
        </is>
      </c>
      <c r="O375" s="5" t="inlineStr"/>
      <c r="P375" s="5" t="inlineStr"/>
      <c r="Q375" s="5" t="inlineStr"/>
      <c r="R375" s="5" t="inlineStr"/>
    </row>
    <row r="376" ht="20" customHeight="1">
      <c r="A376" s="2" t="inlineStr">
        <is>
          <t>ST375</t>
        </is>
      </c>
      <c r="B376" s="3" t="inlineStr">
        <is>
          <t>How to Calculate Percentage of Marks Scored Out of 600 in State Board Exams</t>
        </is>
      </c>
      <c r="C376" s="2" t="inlineStr">
        <is>
          <t>Student</t>
        </is>
      </c>
      <c r="D376" s="3" t="inlineStr">
        <is>
          <t>Percentage</t>
        </is>
      </c>
      <c r="E376" s="2" t="inlineStr">
        <is>
          <t>How-To</t>
        </is>
      </c>
      <c r="F376" s="2" t="inlineStr">
        <is>
          <t>How-To</t>
        </is>
      </c>
      <c r="G376" s="3" t="inlineStr">
        <is>
          <t>how to calculate percentage out of 600</t>
        </is>
      </c>
      <c r="H376" s="3" t="inlineStr">
        <is>
          <t>marks out of 600 to percentage, state board 600 marks percentage, fast division by 6</t>
        </is>
      </c>
      <c r="I376" s="3" t="inlineStr">
        <is>
          <t>Marks Percentage Calculator</t>
        </is>
      </c>
      <c r="J376" s="3" t="inlineStr">
        <is>
          <t>/student/marks-percentage</t>
        </is>
      </c>
      <c r="K376" s="3" t="inlineStr">
        <is>
          <t>Fast calculation: Divide total marks by 6. Show long-division verification and rounding to two decimal places for college admissions.</t>
        </is>
      </c>
      <c r="L376" s="2" t="inlineStr">
        <is>
          <t>YES</t>
        </is>
      </c>
      <c r="M376" s="2" t="inlineStr">
        <is>
          <t>HIGH</t>
        </is>
      </c>
      <c r="N376" s="2" t="inlineStr">
        <is>
          <t>READY</t>
        </is>
      </c>
      <c r="O376" s="3" t="inlineStr"/>
      <c r="P376" s="3" t="inlineStr"/>
      <c r="Q376" s="3" t="inlineStr"/>
      <c r="R376" s="3" t="inlineStr"/>
    </row>
    <row r="377" ht="20" customHeight="1">
      <c r="A377" s="4" t="inlineStr">
        <is>
          <t>ST376</t>
        </is>
      </c>
      <c r="B377" s="5" t="inlineStr">
        <is>
          <t>How to Calculate Percentage of Marks Scored Out of 800 in Degree Courses</t>
        </is>
      </c>
      <c r="C377" s="4" t="inlineStr">
        <is>
          <t>Student</t>
        </is>
      </c>
      <c r="D377" s="5" t="inlineStr">
        <is>
          <t>Percentage</t>
        </is>
      </c>
      <c r="E377" s="4" t="inlineStr">
        <is>
          <t>How-To</t>
        </is>
      </c>
      <c r="F377" s="4" t="inlineStr">
        <is>
          <t>How-To</t>
        </is>
      </c>
      <c r="G377" s="5" t="inlineStr">
        <is>
          <t>how to calculate percentage out of 800</t>
        </is>
      </c>
      <c r="H377" s="5" t="inlineStr">
        <is>
          <t>marks out of 800 percentage, degree marks percentage formula, aggregate out of 800</t>
        </is>
      </c>
      <c r="I377" s="5" t="inlineStr">
        <is>
          <t>Marks Percentage Calculator</t>
        </is>
      </c>
      <c r="J377" s="5" t="inlineStr">
        <is>
          <t>/student/marks-percentage</t>
        </is>
      </c>
      <c r="K377" s="5" t="inlineStr">
        <is>
          <t>Fast calculation: Divide total marks by 8. Explain how practical marks and internal assessments integrate into the 800-mark semester total.</t>
        </is>
      </c>
      <c r="L377" s="4" t="inlineStr">
        <is>
          <t>YES</t>
        </is>
      </c>
      <c r="M377" s="4" t="inlineStr">
        <is>
          <t>MEDIUM</t>
        </is>
      </c>
      <c r="N377" s="4" t="inlineStr">
        <is>
          <t>READY</t>
        </is>
      </c>
      <c r="O377" s="5" t="inlineStr"/>
      <c r="P377" s="5" t="inlineStr"/>
      <c r="Q377" s="5" t="inlineStr"/>
      <c r="R377" s="5" t="inlineStr"/>
    </row>
    <row r="378" ht="20" customHeight="1">
      <c r="A378" s="2" t="inlineStr">
        <is>
          <t>ST377</t>
        </is>
      </c>
      <c r="B378" s="3" t="inlineStr">
        <is>
          <t>How to Calculate Percentage Scored in Internal vs External Exam Components</t>
        </is>
      </c>
      <c r="C378" s="2" t="inlineStr">
        <is>
          <t>Student</t>
        </is>
      </c>
      <c r="D378" s="3" t="inlineStr">
        <is>
          <t>Percentage</t>
        </is>
      </c>
      <c r="E378" s="2" t="inlineStr">
        <is>
          <t>How-To</t>
        </is>
      </c>
      <c r="F378" s="2" t="inlineStr">
        <is>
          <t>How-To</t>
        </is>
      </c>
      <c r="G378" s="3" t="inlineStr">
        <is>
          <t>internal vs external exam percentage</t>
        </is>
      </c>
      <c r="H378" s="3" t="inlineStr">
        <is>
          <t>internal marks percentage, external theory percentage calculation, university exam split</t>
        </is>
      </c>
      <c r="I378" s="3" t="inlineStr">
        <is>
          <t>Marks Percentage Calculator</t>
        </is>
      </c>
      <c r="J378" s="3" t="inlineStr">
        <is>
          <t>/student/marks-percentage</t>
        </is>
      </c>
      <c r="K378" s="3" t="inlineStr">
        <is>
          <t>Show how to break down 25-mark or 30-mark internal assessments against 75-mark or 70-mark end-semester theory papers.</t>
        </is>
      </c>
      <c r="L378" s="2" t="inlineStr">
        <is>
          <t>YES</t>
        </is>
      </c>
      <c r="M378" s="2" t="inlineStr">
        <is>
          <t>MEDIUM</t>
        </is>
      </c>
      <c r="N378" s="2" t="inlineStr">
        <is>
          <t>READY</t>
        </is>
      </c>
      <c r="O378" s="3" t="inlineStr"/>
      <c r="P378" s="3" t="inlineStr"/>
      <c r="Q378" s="3" t="inlineStr"/>
      <c r="R378" s="3" t="inlineStr"/>
    </row>
    <row r="379" ht="20" customHeight="1">
      <c r="A379" s="4" t="inlineStr">
        <is>
          <t>ST378</t>
        </is>
      </c>
      <c r="B379" s="5" t="inlineStr">
        <is>
          <t>Calculating Percentage Attendance with Excused vs Unexcused Absences</t>
        </is>
      </c>
      <c r="C379" s="4" t="inlineStr">
        <is>
          <t>Student</t>
        </is>
      </c>
      <c r="D379" s="5" t="inlineStr">
        <is>
          <t>Percentage</t>
        </is>
      </c>
      <c r="E379" s="4" t="inlineStr">
        <is>
          <t>How-To</t>
        </is>
      </c>
      <c r="F379" s="4" t="inlineStr">
        <is>
          <t>How-To</t>
        </is>
      </c>
      <c r="G379" s="5" t="inlineStr">
        <is>
          <t>attendance percentage with excused leave</t>
        </is>
      </c>
      <c r="H379" s="5" t="inlineStr">
        <is>
          <t>excused absence attendance calculation, authorized leave percentage formula, college attendance rules</t>
        </is>
      </c>
      <c r="I379" s="5" t="inlineStr">
        <is>
          <t>Attendance Calculator</t>
        </is>
      </c>
      <c r="J379" s="5" t="inlineStr">
        <is>
          <t>/student/attendance-calculator</t>
        </is>
      </c>
      <c r="K379" s="5" t="inlineStr">
        <is>
          <t>Compare how different institutional ERP systems handle excused medical leave: adjusting the denominator vs crediting the numerator.</t>
        </is>
      </c>
      <c r="L379" s="4" t="inlineStr">
        <is>
          <t>YES</t>
        </is>
      </c>
      <c r="M379" s="4" t="inlineStr">
        <is>
          <t>MEDIUM</t>
        </is>
      </c>
      <c r="N379" s="4" t="inlineStr">
        <is>
          <t>READY</t>
        </is>
      </c>
      <c r="O379" s="5" t="inlineStr"/>
      <c r="P379" s="5" t="inlineStr"/>
      <c r="Q379" s="5" t="inlineStr"/>
      <c r="R379" s="5" t="inlineStr"/>
    </row>
    <row r="380" ht="20" customHeight="1">
      <c r="A380" s="2" t="inlineStr">
        <is>
          <t>ST379</t>
        </is>
      </c>
      <c r="B380" s="3" t="inlineStr">
        <is>
          <t>What Does a 100% Increase Mean Compared to a 200% Increase?</t>
        </is>
      </c>
      <c r="C380" s="2" t="inlineStr">
        <is>
          <t>Student</t>
        </is>
      </c>
      <c r="D380" s="3" t="inlineStr">
        <is>
          <t>Percentage</t>
        </is>
      </c>
      <c r="E380" s="2" t="inlineStr">
        <is>
          <t>Explanation</t>
        </is>
      </c>
      <c r="F380" s="2" t="inlineStr">
        <is>
          <t>Educational</t>
        </is>
      </c>
      <c r="G380" s="3" t="inlineStr">
        <is>
          <t>difference between 100 percent increase and 200 percent</t>
        </is>
      </c>
      <c r="H380" s="3" t="inlineStr">
        <is>
          <t>doubling vs 100 percent increase, 200 percent increase meaning, tripling a number percentage</t>
        </is>
      </c>
      <c r="I380" s="3" t="inlineStr">
        <is>
          <t>Percentage Calculator</t>
        </is>
      </c>
      <c r="J380" s="3" t="inlineStr">
        <is>
          <t>/student/percentage-calculator</t>
        </is>
      </c>
      <c r="K380" s="3" t="inlineStr">
        <is>
          <t>Clarify the common verbal confusion: a 100% increase doubles a value (2x), while a 200% increase triples it (3x).</t>
        </is>
      </c>
      <c r="L380" s="2" t="inlineStr">
        <is>
          <t>YES</t>
        </is>
      </c>
      <c r="M380" s="2" t="inlineStr">
        <is>
          <t>HIGH</t>
        </is>
      </c>
      <c r="N380" s="2" t="inlineStr">
        <is>
          <t>READY</t>
        </is>
      </c>
      <c r="O380" s="3" t="inlineStr"/>
      <c r="P380" s="3" t="inlineStr"/>
      <c r="Q380" s="3" t="inlineStr"/>
      <c r="R380" s="3" t="inlineStr"/>
    </row>
    <row r="381" ht="20" customHeight="1">
      <c r="A381" s="4" t="inlineStr">
        <is>
          <t>ST380</t>
        </is>
      </c>
      <c r="B381" s="5" t="inlineStr">
        <is>
          <t>How to Calculate Grade Boundary Percentages for First Class, Second Class, and Distinction</t>
        </is>
      </c>
      <c r="C381" s="4" t="inlineStr">
        <is>
          <t>Student</t>
        </is>
      </c>
      <c r="D381" s="5" t="inlineStr">
        <is>
          <t>Percentage</t>
        </is>
      </c>
      <c r="E381" s="4" t="inlineStr">
        <is>
          <t>Guide</t>
        </is>
      </c>
      <c r="F381" s="4" t="inlineStr">
        <is>
          <t>Reference</t>
        </is>
      </c>
      <c r="G381" s="5" t="inlineStr">
        <is>
          <t>percentage for first class with distinction</t>
        </is>
      </c>
      <c r="H381" s="5" t="inlineStr">
        <is>
          <t>university division classification, distinction percentage threshold, first division criteria</t>
        </is>
      </c>
      <c r="I381" s="5" t="inlineStr">
        <is>
          <t>Percentage Calculator</t>
        </is>
      </c>
      <c r="J381" s="5" t="inlineStr">
        <is>
          <t>/student/percentage-calculator</t>
        </is>
      </c>
      <c r="K381" s="5" t="inlineStr">
        <is>
          <t>Review conventional Indian university classification standards: Distinction (75%+), First Class (60%-74.9%), Second Class (50%-59.9%), Pass Class (40%-49.9%).</t>
        </is>
      </c>
      <c r="L381" s="4" t="inlineStr">
        <is>
          <t>YES</t>
        </is>
      </c>
      <c r="M381" s="4" t="inlineStr">
        <is>
          <t>HIGH</t>
        </is>
      </c>
      <c r="N381" s="4" t="inlineStr">
        <is>
          <t>READY</t>
        </is>
      </c>
      <c r="O381" s="5" t="inlineStr"/>
      <c r="P381" s="5" t="inlineStr"/>
      <c r="Q381" s="5" t="inlineStr"/>
      <c r="R381" s="5" t="inlineStr"/>
    </row>
    <row r="382" ht="20" customHeight="1">
      <c r="A382" s="2" t="inlineStr">
        <is>
          <t>ST381</t>
        </is>
      </c>
      <c r="B382" s="3" t="inlineStr">
        <is>
          <t>How to Calculate Percentage Change in Monthly Test Scores to Track Learning Curves</t>
        </is>
      </c>
      <c r="C382" s="2" t="inlineStr">
        <is>
          <t>Student</t>
        </is>
      </c>
      <c r="D382" s="3" t="inlineStr">
        <is>
          <t>Percentage</t>
        </is>
      </c>
      <c r="E382" s="2" t="inlineStr">
        <is>
          <t>How-To</t>
        </is>
      </c>
      <c r="F382" s="2" t="inlineStr">
        <is>
          <t>How-To</t>
        </is>
      </c>
      <c r="G382" s="3" t="inlineStr">
        <is>
          <t>tracking percentage change in test scores</t>
        </is>
      </c>
      <c r="H382" s="3" t="inlineStr">
        <is>
          <t>student performance tracking formula, marks improvement percentage, test score growth</t>
        </is>
      </c>
      <c r="I382" s="3" t="inlineStr">
        <is>
          <t>Percentage Calculator</t>
        </is>
      </c>
      <c r="J382" s="3" t="inlineStr">
        <is>
          <t>/student/percentage-calculator</t>
        </is>
      </c>
      <c r="K382" s="3" t="inlineStr">
        <is>
          <t>Guide students and parents on tracking month-on-month test improvement, distinguishing genuine percentage point gains from baseline percentage growth.</t>
        </is>
      </c>
      <c r="L382" s="2" t="inlineStr">
        <is>
          <t>YES</t>
        </is>
      </c>
      <c r="M382" s="2" t="inlineStr">
        <is>
          <t>MEDIUM</t>
        </is>
      </c>
      <c r="N382" s="2" t="inlineStr">
        <is>
          <t>READY</t>
        </is>
      </c>
      <c r="O382" s="3" t="inlineStr"/>
      <c r="P382" s="3" t="inlineStr"/>
      <c r="Q382" s="3" t="inlineStr"/>
      <c r="R382" s="3" t="inlineStr"/>
    </row>
    <row r="383" ht="20" customHeight="1">
      <c r="A383" s="4" t="inlineStr">
        <is>
          <t>ST382</t>
        </is>
      </c>
      <c r="B383" s="5" t="inlineStr">
        <is>
          <t>Percentage Points vs Percent: Why a 5% Rise from 70% Is Not 75%</t>
        </is>
      </c>
      <c r="C383" s="4" t="inlineStr">
        <is>
          <t>Student</t>
        </is>
      </c>
      <c r="D383" s="5" t="inlineStr">
        <is>
          <t>Percentage</t>
        </is>
      </c>
      <c r="E383" s="4" t="inlineStr">
        <is>
          <t>Explanation</t>
        </is>
      </c>
      <c r="F383" s="4" t="inlineStr">
        <is>
          <t>Educational</t>
        </is>
      </c>
      <c r="G383" s="5" t="inlineStr">
        <is>
          <t>difference between percent and percentage points</t>
        </is>
      </c>
      <c r="H383" s="5" t="inlineStr">
        <is>
          <t>percentage points vs percent explained, 5 percentage points increase, percentage terminology</t>
        </is>
      </c>
      <c r="I383" s="5" t="inlineStr">
        <is>
          <t>Percentage Calculator</t>
        </is>
      </c>
      <c r="J383" s="5" t="inlineStr">
        <is>
          <t>/student/percentage-calculator</t>
        </is>
      </c>
      <c r="K383" s="5" t="inlineStr">
        <is>
          <t>Clarify vital terminology: rising from 70% to 75% is an increase of 5 percentage points, but a relative increase of 7.14%.</t>
        </is>
      </c>
      <c r="L383" s="4" t="inlineStr">
        <is>
          <t>YES</t>
        </is>
      </c>
      <c r="M383" s="4" t="inlineStr">
        <is>
          <t>HIGH</t>
        </is>
      </c>
      <c r="N383" s="4" t="inlineStr">
        <is>
          <t>READY</t>
        </is>
      </c>
      <c r="O383" s="5" t="inlineStr"/>
      <c r="P383" s="5" t="inlineStr"/>
      <c r="Q383" s="5" t="inlineStr"/>
      <c r="R383" s="5" t="inlineStr"/>
    </row>
    <row r="384" ht="20" customHeight="1">
      <c r="A384" s="2" t="inlineStr">
        <is>
          <t>ST383</t>
        </is>
      </c>
      <c r="B384" s="3" t="inlineStr">
        <is>
          <t>How to Calculate Percentage for Best 4 or Best 5 Subjects in Class 12 Admissions</t>
        </is>
      </c>
      <c r="C384" s="2" t="inlineStr">
        <is>
          <t>Student</t>
        </is>
      </c>
      <c r="D384" s="3" t="inlineStr">
        <is>
          <t>Percentage</t>
        </is>
      </c>
      <c r="E384" s="2" t="inlineStr">
        <is>
          <t>How-To</t>
        </is>
      </c>
      <c r="F384" s="2" t="inlineStr">
        <is>
          <t>How-To</t>
        </is>
      </c>
      <c r="G384" s="3" t="inlineStr">
        <is>
          <t>best of 4 percentage calculation delhi university</t>
        </is>
      </c>
      <c r="H384" s="3" t="inlineStr">
        <is>
          <t>best 4 percentage formula du, class 12 best 5 percentage, cbse best 5 rule college admission</t>
        </is>
      </c>
      <c r="I384" s="3" t="inlineStr">
        <is>
          <t>Marks Percentage Calculator</t>
        </is>
      </c>
      <c r="J384" s="3" t="inlineStr">
        <is>
          <t>/student/marks-percentage</t>
        </is>
      </c>
      <c r="K384" s="3" t="inlineStr">
        <is>
          <t>Detail DU and state university criteria: mandatory language subject inclusion, core academic subject requirements, and non-academic subject penalties.</t>
        </is>
      </c>
      <c r="L384" s="2" t="inlineStr">
        <is>
          <t>YES</t>
        </is>
      </c>
      <c r="M384" s="2" t="inlineStr">
        <is>
          <t>HIGH</t>
        </is>
      </c>
      <c r="N384" s="2" t="inlineStr">
        <is>
          <t>READY</t>
        </is>
      </c>
      <c r="O384" s="3" t="inlineStr"/>
      <c r="P384" s="3" t="inlineStr"/>
      <c r="Q384" s="3" t="inlineStr"/>
      <c r="R384" s="3" t="inlineStr"/>
    </row>
    <row r="385" ht="20" customHeight="1">
      <c r="A385" s="4" t="inlineStr">
        <is>
          <t>ST384</t>
        </is>
      </c>
      <c r="B385" s="5" t="inlineStr">
        <is>
          <t>Can You Have a Percentage Greater than 100%? Real-Life Academic and Economic Scenarios</t>
        </is>
      </c>
      <c r="C385" s="4" t="inlineStr">
        <is>
          <t>Student</t>
        </is>
      </c>
      <c r="D385" s="5" t="inlineStr">
        <is>
          <t>Percentage</t>
        </is>
      </c>
      <c r="E385" s="4" t="inlineStr">
        <is>
          <t>Explanation</t>
        </is>
      </c>
      <c r="F385" s="4" t="inlineStr">
        <is>
          <t>Educational</t>
        </is>
      </c>
      <c r="G385" s="5" t="inlineStr">
        <is>
          <t>can percentage be greater than 100</t>
        </is>
      </c>
      <c r="H385" s="5" t="inlineStr">
        <is>
          <t>percentage over 100 meaning, when is percentage above 100 possible, percentage concepts</t>
        </is>
      </c>
      <c r="I385" s="5" t="inlineStr">
        <is>
          <t>Percentage Calculator</t>
        </is>
      </c>
      <c r="J385" s="5" t="inlineStr">
        <is>
          <t>/student/percentage-calculator</t>
        </is>
      </c>
      <c r="K385" s="5" t="inlineStr">
        <is>
          <t>Explain when percentages above 100% are valid (growth rates, profit margins, targets achieved) and when they are impossible (proportions of a whole).</t>
        </is>
      </c>
      <c r="L385" s="4" t="inlineStr">
        <is>
          <t>YES</t>
        </is>
      </c>
      <c r="M385" s="4" t="inlineStr">
        <is>
          <t>LOW</t>
        </is>
      </c>
      <c r="N385" s="4" t="inlineStr">
        <is>
          <t>READY</t>
        </is>
      </c>
      <c r="O385" s="5" t="inlineStr"/>
      <c r="P385" s="5" t="inlineStr"/>
      <c r="Q385" s="5" t="inlineStr"/>
      <c r="R385" s="5" t="inlineStr"/>
    </row>
    <row r="386" ht="20" customHeight="1">
      <c r="A386" s="2" t="inlineStr">
        <is>
          <t>ST385</t>
        </is>
      </c>
      <c r="B386" s="3" t="inlineStr">
        <is>
          <t>How to Calculate Cutoff Percentage for College Admissions from Board Marksheets</t>
        </is>
      </c>
      <c r="C386" s="2" t="inlineStr">
        <is>
          <t>Student</t>
        </is>
      </c>
      <c r="D386" s="3" t="inlineStr">
        <is>
          <t>Percentage</t>
        </is>
      </c>
      <c r="E386" s="2" t="inlineStr">
        <is>
          <t>How-To</t>
        </is>
      </c>
      <c r="F386" s="2" t="inlineStr">
        <is>
          <t>How-To</t>
        </is>
      </c>
      <c r="G386" s="3" t="inlineStr">
        <is>
          <t>how to calculate cutoff percentage for college</t>
        </is>
      </c>
      <c r="H386" s="3" t="inlineStr">
        <is>
          <t>merit cutoff calculation, aggregate percentage admission, qualifying cutoff marks</t>
        </is>
      </c>
      <c r="I386" s="3" t="inlineStr">
        <is>
          <t>Marks Percentage Calculator</t>
        </is>
      </c>
      <c r="J386" s="3" t="inlineStr">
        <is>
          <t>/student/marks-percentage</t>
        </is>
      </c>
      <c r="K386" s="3" t="inlineStr">
        <is>
          <t>Step-by-step instructions on isolating relevant core subjects, excluding vocational subjects where disallowed, and computing precise decimal cutoff percentages.</t>
        </is>
      </c>
      <c r="L386" s="2" t="inlineStr">
        <is>
          <t>YES</t>
        </is>
      </c>
      <c r="M386" s="2" t="inlineStr">
        <is>
          <t>HIGH</t>
        </is>
      </c>
      <c r="N386" s="2" t="inlineStr">
        <is>
          <t>READY</t>
        </is>
      </c>
      <c r="O386" s="3" t="inlineStr"/>
      <c r="P386" s="3" t="inlineStr"/>
      <c r="Q386" s="3" t="inlineStr"/>
      <c r="R386" s="3" t="inlineStr"/>
    </row>
    <row r="387" ht="20" customHeight="1">
      <c r="A387" s="4" t="inlineStr">
        <is>
          <t>ST386</t>
        </is>
      </c>
      <c r="B387" s="5" t="inlineStr">
        <is>
          <t>Formula for Calculating Percentage Marks from Scaled or Standardized Scores</t>
        </is>
      </c>
      <c r="C387" s="4" t="inlineStr">
        <is>
          <t>Student</t>
        </is>
      </c>
      <c r="D387" s="5" t="inlineStr">
        <is>
          <t>Percentage</t>
        </is>
      </c>
      <c r="E387" s="4" t="inlineStr">
        <is>
          <t>Formula Guide</t>
        </is>
      </c>
      <c r="F387" s="4" t="inlineStr">
        <is>
          <t>Educational</t>
        </is>
      </c>
      <c r="G387" s="5" t="inlineStr">
        <is>
          <t>percentage from scaled marks formula</t>
        </is>
      </c>
      <c r="H387" s="5" t="inlineStr">
        <is>
          <t>scaled marks percentage, score standardization percentage, exam scaling formula</t>
        </is>
      </c>
      <c r="I387" s="5" t="inlineStr">
        <is>
          <t>Percentage Calculator</t>
        </is>
      </c>
      <c r="J387" s="5" t="inlineStr">
        <is>
          <t>/student/percentage-calculator</t>
        </is>
      </c>
      <c r="K387" s="5" t="inlineStr">
        <is>
          <t>Explain how linear min-max scaling converts raw test scores onto a standardized 100-point scale: Scaled % = ((Raw - Min) / (Max - Min)) * 100.</t>
        </is>
      </c>
      <c r="L387" s="4" t="inlineStr">
        <is>
          <t>YES</t>
        </is>
      </c>
      <c r="M387" s="4" t="inlineStr">
        <is>
          <t>MEDIUM</t>
        </is>
      </c>
      <c r="N387" s="4" t="inlineStr">
        <is>
          <t>READY</t>
        </is>
      </c>
      <c r="O387" s="5" t="inlineStr"/>
      <c r="P387" s="5" t="inlineStr"/>
      <c r="Q387" s="5" t="inlineStr"/>
      <c r="R387" s="5" t="inlineStr"/>
    </row>
    <row r="388" ht="20" customHeight="1">
      <c r="A388" s="2" t="inlineStr">
        <is>
          <t>ST387</t>
        </is>
      </c>
      <c r="B388" s="3" t="inlineStr">
        <is>
          <t>How to Calculate the Percentage of Correct vs Incorrect Answers in Any Test</t>
        </is>
      </c>
      <c r="C388" s="2" t="inlineStr">
        <is>
          <t>Student</t>
        </is>
      </c>
      <c r="D388" s="3" t="inlineStr">
        <is>
          <t>Percentage</t>
        </is>
      </c>
      <c r="E388" s="2" t="inlineStr">
        <is>
          <t>How-To</t>
        </is>
      </c>
      <c r="F388" s="2" t="inlineStr">
        <is>
          <t>How-To</t>
        </is>
      </c>
      <c r="G388" s="3" t="inlineStr">
        <is>
          <t>test accuracy percentage formula</t>
        </is>
      </c>
      <c r="H388" s="3" t="inlineStr">
        <is>
          <t>calculating correct answer percentage, test error percentage, mcq exam analysis</t>
        </is>
      </c>
      <c r="I388" s="3" t="inlineStr">
        <is>
          <t>Percentage Calculator</t>
        </is>
      </c>
      <c r="J388" s="3" t="inlineStr">
        <is>
          <t>/student/percentage-calculator</t>
        </is>
      </c>
      <c r="K388" s="3" t="inlineStr">
        <is>
          <t>Provide dual formulas: Accuracy % = (Correct / Attempted) * 100, and Coverage % = (Attempted / Total Questions) * 100.</t>
        </is>
      </c>
      <c r="L388" s="2" t="inlineStr">
        <is>
          <t>YES</t>
        </is>
      </c>
      <c r="M388" s="2" t="inlineStr">
        <is>
          <t>HIGH</t>
        </is>
      </c>
      <c r="N388" s="2" t="inlineStr">
        <is>
          <t>READY</t>
        </is>
      </c>
      <c r="O388" s="3" t="inlineStr"/>
      <c r="P388" s="3" t="inlineStr"/>
      <c r="Q388" s="3" t="inlineStr"/>
      <c r="R388" s="3" t="inlineStr"/>
    </row>
    <row r="389" ht="20" customHeight="1">
      <c r="A389" s="4" t="inlineStr">
        <is>
          <t>ST388</t>
        </is>
      </c>
      <c r="B389" s="5" t="inlineStr">
        <is>
          <t>Calculating Negative Marking Impact as a Percentage of Maximum Marks</t>
        </is>
      </c>
      <c r="C389" s="4" t="inlineStr">
        <is>
          <t>Student</t>
        </is>
      </c>
      <c r="D389" s="5" t="inlineStr">
        <is>
          <t>Percentage</t>
        </is>
      </c>
      <c r="E389" s="4" t="inlineStr">
        <is>
          <t>How-To</t>
        </is>
      </c>
      <c r="F389" s="4" t="inlineStr">
        <is>
          <t>Educational</t>
        </is>
      </c>
      <c r="G389" s="5" t="inlineStr">
        <is>
          <t>negative marking percentage impact</t>
        </is>
      </c>
      <c r="H389" s="5" t="inlineStr">
        <is>
          <t>penalty percentage formula, exam marks lost to negative marking, negative score ratio</t>
        </is>
      </c>
      <c r="I389" s="5" t="inlineStr">
        <is>
          <t>Percentage Calculator</t>
        </is>
      </c>
      <c r="J389" s="5" t="inlineStr">
        <is>
          <t>/student/percentage-calculator</t>
        </is>
      </c>
      <c r="K389" s="5" t="inlineStr">
        <is>
          <t>Show how to calculate the net penalty drag: (Negative Marks Lost / Total Maximum Marks) * 100, quantifying test discipline.</t>
        </is>
      </c>
      <c r="L389" s="4" t="inlineStr">
        <is>
          <t>YES</t>
        </is>
      </c>
      <c r="M389" s="4" t="inlineStr">
        <is>
          <t>MEDIUM</t>
        </is>
      </c>
      <c r="N389" s="4" t="inlineStr">
        <is>
          <t>READY</t>
        </is>
      </c>
      <c r="O389" s="5" t="inlineStr"/>
      <c r="P389" s="5" t="inlineStr"/>
      <c r="Q389" s="5" t="inlineStr"/>
      <c r="R389" s="5" t="inlineStr"/>
    </row>
    <row r="390" ht="20" customHeight="1">
      <c r="A390" s="2" t="inlineStr">
        <is>
          <t>ST389</t>
        </is>
      </c>
      <c r="B390" s="3" t="inlineStr">
        <is>
          <t>How to Rapidly Calculate 1%, 5%, 10%, 20%, 25%, and 50% Without Paper</t>
        </is>
      </c>
      <c r="C390" s="2" t="inlineStr">
        <is>
          <t>Student</t>
        </is>
      </c>
      <c r="D390" s="3" t="inlineStr">
        <is>
          <t>Percentage</t>
        </is>
      </c>
      <c r="E390" s="2" t="inlineStr">
        <is>
          <t>Guide</t>
        </is>
      </c>
      <c r="F390" s="2" t="inlineStr">
        <is>
          <t>How-To</t>
        </is>
      </c>
      <c r="G390" s="3" t="inlineStr">
        <is>
          <t>rapid percentage calculation benchmarks</t>
        </is>
      </c>
      <c r="H390" s="3" t="inlineStr">
        <is>
          <t>shortcut for 25 percent, how to find 5 percent quickly, mental percentage benchmarks</t>
        </is>
      </c>
      <c r="I390" s="3" t="inlineStr">
        <is>
          <t>Percentage Calculator</t>
        </is>
      </c>
      <c r="J390" s="3" t="inlineStr">
        <is>
          <t>/student/percentage-calculator</t>
        </is>
      </c>
      <c r="K390" s="3" t="inlineStr">
        <is>
          <t>Reference guide: 50% is half, 25% is half of half, 10% is divide by 10, 5% is half of 10%, 1% is divide by 100.</t>
        </is>
      </c>
      <c r="L390" s="2" t="inlineStr">
        <is>
          <t>YES</t>
        </is>
      </c>
      <c r="M390" s="2" t="inlineStr">
        <is>
          <t>HIGH</t>
        </is>
      </c>
      <c r="N390" s="2" t="inlineStr">
        <is>
          <t>READY</t>
        </is>
      </c>
      <c r="O390" s="3" t="inlineStr"/>
      <c r="P390" s="3" t="inlineStr"/>
      <c r="Q390" s="3" t="inlineStr"/>
      <c r="R390" s="3" t="inlineStr"/>
    </row>
    <row r="391" ht="20" customHeight="1">
      <c r="A391" s="4" t="inlineStr">
        <is>
          <t>ST390</t>
        </is>
      </c>
      <c r="B391" s="5" t="inlineStr">
        <is>
          <t>How to Calculate Percentage of Syllabus Covered in Your Exam Preparation</t>
        </is>
      </c>
      <c r="C391" s="4" t="inlineStr">
        <is>
          <t>Student</t>
        </is>
      </c>
      <c r="D391" s="5" t="inlineStr">
        <is>
          <t>Percentage</t>
        </is>
      </c>
      <c r="E391" s="4" t="inlineStr">
        <is>
          <t>How-To</t>
        </is>
      </c>
      <c r="F391" s="4" t="inlineStr">
        <is>
          <t>Planning</t>
        </is>
      </c>
      <c r="G391" s="5" t="inlineStr">
        <is>
          <t>how to calculate syllabus completion percentage</t>
        </is>
      </c>
      <c r="H391" s="5" t="inlineStr">
        <is>
          <t>syllabus progress tracker formula, study completion percentage, revision tracker</t>
        </is>
      </c>
      <c r="I391" s="5" t="inlineStr">
        <is>
          <t>Percentage Calculator</t>
        </is>
      </c>
      <c r="J391" s="5" t="inlineStr">
        <is>
          <t>/student/percentage-calculator</t>
        </is>
      </c>
      <c r="K391" s="5" t="inlineStr">
        <is>
          <t>Formulate weighted syllabus completion: (Completed High-Priority Chapters * 3 + Medium * 2 + Low * 1) / Total Weighted Chapters * 100.</t>
        </is>
      </c>
      <c r="L391" s="4" t="inlineStr">
        <is>
          <t>YES</t>
        </is>
      </c>
      <c r="M391" s="4" t="inlineStr">
        <is>
          <t>HIGH</t>
        </is>
      </c>
      <c r="N391" s="4" t="inlineStr">
        <is>
          <t>READY</t>
        </is>
      </c>
      <c r="O391" s="5" t="inlineStr"/>
      <c r="P391" s="5" t="inlineStr"/>
      <c r="Q391" s="5" t="inlineStr"/>
      <c r="R391" s="5" t="inlineStr"/>
    </row>
    <row r="392" ht="20" customHeight="1">
      <c r="A392" s="2" t="inlineStr">
        <is>
          <t>ST391</t>
        </is>
      </c>
      <c r="B392" s="3" t="inlineStr">
        <is>
          <t>CBSE Class 10 Marks Percentage Calculation: Does CBSE Include Additional 6th Subject?</t>
        </is>
      </c>
      <c r="C392" s="2" t="inlineStr">
        <is>
          <t>Student</t>
        </is>
      </c>
      <c r="D392" s="3" t="inlineStr">
        <is>
          <t>Marks</t>
        </is>
      </c>
      <c r="E392" s="2" t="inlineStr">
        <is>
          <t>Guide</t>
        </is>
      </c>
      <c r="F392" s="2" t="inlineStr">
        <is>
          <t>Reference</t>
        </is>
      </c>
      <c r="G392" s="3" t="inlineStr">
        <is>
          <t>cbse class 10 percentage calculation 6 subjects</t>
        </is>
      </c>
      <c r="H392" s="3" t="inlineStr">
        <is>
          <t>cbse best 5 rule class 10, does cbse declare percentage, calculating 10th marks percentage</t>
        </is>
      </c>
      <c r="I392" s="3" t="inlineStr">
        <is>
          <t>Marks Percentage Calculator</t>
        </is>
      </c>
      <c r="J392" s="3" t="inlineStr">
        <is>
          <t>/student/marks-percentage</t>
        </is>
      </c>
      <c r="K392" s="3" t="inlineStr">
        <is>
          <t>Clarify official CBSE examination bylaws: CBSE does not declare an official percentage or division; schools/universities use best 5 rules with English/language mandatory.</t>
        </is>
      </c>
      <c r="L392" s="2" t="inlineStr">
        <is>
          <t>YES</t>
        </is>
      </c>
      <c r="M392" s="2" t="inlineStr">
        <is>
          <t>HIGH</t>
        </is>
      </c>
      <c r="N392" s="2" t="inlineStr">
        <is>
          <t>READY</t>
        </is>
      </c>
      <c r="O392" s="3" t="inlineStr"/>
      <c r="P392" s="3" t="inlineStr"/>
      <c r="Q392" s="3" t="inlineStr"/>
      <c r="R392" s="3" t="inlineStr"/>
    </row>
    <row r="393" ht="20" customHeight="1">
      <c r="A393" s="4" t="inlineStr">
        <is>
          <t>ST392</t>
        </is>
      </c>
      <c r="B393" s="5" t="inlineStr">
        <is>
          <t>CBSE Class 12 Marks Percentage: How Practical and Theory Marks Are Combined</t>
        </is>
      </c>
      <c r="C393" s="4" t="inlineStr">
        <is>
          <t>Student</t>
        </is>
      </c>
      <c r="D393" s="5" t="inlineStr">
        <is>
          <t>Marks</t>
        </is>
      </c>
      <c r="E393" s="4" t="inlineStr">
        <is>
          <t>Guide</t>
        </is>
      </c>
      <c r="F393" s="4" t="inlineStr">
        <is>
          <t>How-To</t>
        </is>
      </c>
      <c r="G393" s="5" t="inlineStr">
        <is>
          <t>how cbse class 12 marks percentage is calculated</t>
        </is>
      </c>
      <c r="H393" s="5" t="inlineStr">
        <is>
          <t>practical plus theory marks percentage, cbse 12th marksheet calculation, 70 30 marks split</t>
        </is>
      </c>
      <c r="I393" s="5" t="inlineStr">
        <is>
          <t>Marks Percentage Calculator</t>
        </is>
      </c>
      <c r="J393" s="5" t="inlineStr">
        <is>
          <t>/student/marks-percentage</t>
        </is>
      </c>
      <c r="K393" s="5" t="inlineStr">
        <is>
          <t>Detail how 70/30 (Physics, Chemistry, Biology) and 80/20 (Maths, Commerce, Humanities) splits combine into 100-mark totals, and computing aggregate percentage.</t>
        </is>
      </c>
      <c r="L393" s="4" t="inlineStr">
        <is>
          <t>YES</t>
        </is>
      </c>
      <c r="M393" s="4" t="inlineStr">
        <is>
          <t>HIGH</t>
        </is>
      </c>
      <c r="N393" s="4" t="inlineStr">
        <is>
          <t>READY</t>
        </is>
      </c>
      <c r="O393" s="5" t="inlineStr"/>
      <c r="P393" s="5" t="inlineStr"/>
      <c r="Q393" s="5" t="inlineStr"/>
      <c r="R393" s="5" t="inlineStr"/>
    </row>
    <row r="394" ht="20" customHeight="1">
      <c r="A394" s="2" t="inlineStr">
        <is>
          <t>ST393</t>
        </is>
      </c>
      <c r="B394" s="3" t="inlineStr">
        <is>
          <t>ICSE Class 10 Percentage Calculation: The English Plus Best 4 Subjects Rule</t>
        </is>
      </c>
      <c r="C394" s="2" t="inlineStr">
        <is>
          <t>Student</t>
        </is>
      </c>
      <c r="D394" s="3" t="inlineStr">
        <is>
          <t>Marks</t>
        </is>
      </c>
      <c r="E394" s="2" t="inlineStr">
        <is>
          <t>Formula Guide</t>
        </is>
      </c>
      <c r="F394" s="2" t="inlineStr">
        <is>
          <t>Reference</t>
        </is>
      </c>
      <c r="G394" s="3" t="inlineStr">
        <is>
          <t>icse class 10 percentage calculation</t>
        </is>
      </c>
      <c r="H394" s="3" t="inlineStr">
        <is>
          <t>icse best 5 subjects rule, english plus 4 rule icse, icse marksheet percentage</t>
        </is>
      </c>
      <c r="I394" s="3" t="inlineStr">
        <is>
          <t>Marks Percentage Calculator</t>
        </is>
      </c>
      <c r="J394" s="3" t="inlineStr">
        <is>
          <t>/student/marks-percentage</t>
        </is>
      </c>
      <c r="K394" s="3" t="inlineStr">
        <is>
          <t>Explain the CISCE regulation: English is compulsory, plus the best 4 of the remaining 5 subjects (with Science and Social Science subject averages).</t>
        </is>
      </c>
      <c r="L394" s="2" t="inlineStr">
        <is>
          <t>YES</t>
        </is>
      </c>
      <c r="M394" s="2" t="inlineStr">
        <is>
          <t>HIGH</t>
        </is>
      </c>
      <c r="N394" s="2" t="inlineStr">
        <is>
          <t>READY</t>
        </is>
      </c>
      <c r="O394" s="3" t="inlineStr"/>
      <c r="P394" s="3" t="inlineStr"/>
      <c r="Q394" s="3" t="inlineStr"/>
      <c r="R394" s="3" t="inlineStr"/>
    </row>
    <row r="395" ht="20" customHeight="1">
      <c r="A395" s="4" t="inlineStr">
        <is>
          <t>ST394</t>
        </is>
      </c>
      <c r="B395" s="5" t="inlineStr">
        <is>
          <t>ISC Class 12 Percentage Calculation: English Plus Best 3 Subjects Explained</t>
        </is>
      </c>
      <c r="C395" s="4" t="inlineStr">
        <is>
          <t>Student</t>
        </is>
      </c>
      <c r="D395" s="5" t="inlineStr">
        <is>
          <t>Marks</t>
        </is>
      </c>
      <c r="E395" s="4" t="inlineStr">
        <is>
          <t>Formula Guide</t>
        </is>
      </c>
      <c r="F395" s="4" t="inlineStr">
        <is>
          <t>Reference</t>
        </is>
      </c>
      <c r="G395" s="5" t="inlineStr">
        <is>
          <t>isc class 12 percentage calculation</t>
        </is>
      </c>
      <c r="H395" s="5" t="inlineStr">
        <is>
          <t>isc best 4 subjects rule, cisce 12th percentage formula, isc marks calculation college admission</t>
        </is>
      </c>
      <c r="I395" s="5" t="inlineStr">
        <is>
          <t>Marks Percentage Calculator</t>
        </is>
      </c>
      <c r="J395" s="5" t="inlineStr">
        <is>
          <t>/student/marks-percentage</t>
        </is>
      </c>
      <c r="K395" s="5" t="inlineStr">
        <is>
          <t>Explain CISCE ISC Class 12 rule: English is strictly compulsory, plus marks from the top 3 elective subjects, divided by 400 * 100.</t>
        </is>
      </c>
      <c r="L395" s="4" t="inlineStr">
        <is>
          <t>YES</t>
        </is>
      </c>
      <c r="M395" s="4" t="inlineStr">
        <is>
          <t>HIGH</t>
        </is>
      </c>
      <c r="N395" s="4" t="inlineStr">
        <is>
          <t>READY</t>
        </is>
      </c>
      <c r="O395" s="5" t="inlineStr"/>
      <c r="P395" s="5" t="inlineStr"/>
      <c r="Q395" s="5" t="inlineStr"/>
      <c r="R395" s="5" t="inlineStr"/>
    </row>
    <row r="396" ht="20" customHeight="1">
      <c r="A396" s="2" t="inlineStr">
        <is>
          <t>ST395</t>
        </is>
      </c>
      <c r="B396" s="3" t="inlineStr">
        <is>
          <t>How to Calculate Aggregate Marks Percentage for College Admissions Across 3 Years</t>
        </is>
      </c>
      <c r="C396" s="2" t="inlineStr">
        <is>
          <t>Student</t>
        </is>
      </c>
      <c r="D396" s="3" t="inlineStr">
        <is>
          <t>Marks</t>
        </is>
      </c>
      <c r="E396" s="2" t="inlineStr">
        <is>
          <t>How-To</t>
        </is>
      </c>
      <c r="F396" s="2" t="inlineStr">
        <is>
          <t>How-To</t>
        </is>
      </c>
      <c r="G396" s="3" t="inlineStr">
        <is>
          <t>how to calculate 3 year degree percentage</t>
        </is>
      </c>
      <c r="H396" s="3" t="inlineStr">
        <is>
          <t>aggregate percentage bsc bcom ba, total marks across 6 semesters, degree aggregate formula</t>
        </is>
      </c>
      <c r="I396" s="3" t="inlineStr">
        <is>
          <t>Marks Percentage Calculator</t>
        </is>
      </c>
      <c r="J396" s="3" t="inlineStr">
        <is>
          <t>/student/marks-percentage</t>
        </is>
      </c>
      <c r="K396" s="3" t="inlineStr">
        <is>
          <t>Explain how universities aggregate marks: Total Marks Obtained in All 6 Semesters / Total Maximum Marks in All 6 Semesters * 100.</t>
        </is>
      </c>
      <c r="L396" s="2" t="inlineStr">
        <is>
          <t>YES</t>
        </is>
      </c>
      <c r="M396" s="2" t="inlineStr">
        <is>
          <t>HIGH</t>
        </is>
      </c>
      <c r="N396" s="2" t="inlineStr">
        <is>
          <t>READY</t>
        </is>
      </c>
      <c r="O396" s="3" t="inlineStr"/>
      <c r="P396" s="3" t="inlineStr"/>
      <c r="Q396" s="3" t="inlineStr"/>
      <c r="R396" s="3" t="inlineStr"/>
    </row>
    <row r="397" ht="20" customHeight="1">
      <c r="A397" s="4" t="inlineStr">
        <is>
          <t>ST396</t>
        </is>
      </c>
      <c r="B397" s="5" t="inlineStr">
        <is>
          <t>State Board vs CBSE Marks Percentage: Why Normalized Percentiles Are Used in Entrance Tests</t>
        </is>
      </c>
      <c r="C397" s="4" t="inlineStr">
        <is>
          <t>Student</t>
        </is>
      </c>
      <c r="D397" s="5" t="inlineStr">
        <is>
          <t>Marks</t>
        </is>
      </c>
      <c r="E397" s="4" t="inlineStr">
        <is>
          <t>Comparison</t>
        </is>
      </c>
      <c r="F397" s="4" t="inlineStr">
        <is>
          <t>Educational</t>
        </is>
      </c>
      <c r="G397" s="5" t="inlineStr">
        <is>
          <t>state board vs cbse marks comparison</t>
        </is>
      </c>
      <c r="H397" s="5" t="inlineStr">
        <is>
          <t>board marks normalization, why state board percentages differ, competitive exam board criteria</t>
        </is>
      </c>
      <c r="I397" s="5" t="inlineStr">
        <is>
          <t>Marks Percentage Calculator</t>
        </is>
      </c>
      <c r="J397" s="5" t="inlineStr">
        <is>
          <t>/student/marks-percentage</t>
        </is>
      </c>
      <c r="K397" s="5" t="inlineStr">
        <is>
          <t>Explain the wide discrepancy between liberal and strict evaluation boards (e.g., Andhra/Telangana 98%+ vs Bihar/UP Board 80% representing equivalent topper percentiles).</t>
        </is>
      </c>
      <c r="L397" s="4" t="inlineStr">
        <is>
          <t>YES</t>
        </is>
      </c>
      <c r="M397" s="4" t="inlineStr">
        <is>
          <t>HIGH</t>
        </is>
      </c>
      <c r="N397" s="4" t="inlineStr">
        <is>
          <t>READY</t>
        </is>
      </c>
      <c r="O397" s="5" t="inlineStr"/>
      <c r="P397" s="5" t="inlineStr"/>
      <c r="Q397" s="5" t="inlineStr"/>
      <c r="R397" s="5" t="inlineStr"/>
    </row>
    <row r="398" ht="20" customHeight="1">
      <c r="A398" s="2" t="inlineStr">
        <is>
          <t>ST397</t>
        </is>
      </c>
      <c r="B398" s="3" t="inlineStr">
        <is>
          <t>How Grace Marks in Board Marksheets Affect Aggregate Percentage Calculation</t>
        </is>
      </c>
      <c r="C398" s="2" t="inlineStr">
        <is>
          <t>Student</t>
        </is>
      </c>
      <c r="D398" s="3" t="inlineStr">
        <is>
          <t>Marks</t>
        </is>
      </c>
      <c r="E398" s="2" t="inlineStr">
        <is>
          <t>Explanation</t>
        </is>
      </c>
      <c r="F398" s="2" t="inlineStr">
        <is>
          <t>Reference</t>
        </is>
      </c>
      <c r="G398" s="3" t="inlineStr">
        <is>
          <t>grace marks in board exam percentage</t>
        </is>
      </c>
      <c r="H398" s="3" t="inlineStr">
        <is>
          <t>cbse grace marks policy, do grace marks count in percentage, passing with grace marks</t>
        </is>
      </c>
      <c r="I398" s="3" t="inlineStr">
        <is>
          <t>Marks Percentage Calculator</t>
        </is>
      </c>
      <c r="J398" s="3" t="inlineStr">
        <is>
          <t>/student/marks-percentage</t>
        </is>
      </c>
      <c r="K398" s="3" t="inlineStr">
        <is>
          <t>Explain board moderation policies, how grace marks (indicated with an asterisk *) are counted in the final total, and employer scrutiny.</t>
        </is>
      </c>
      <c r="L398" s="2" t="inlineStr">
        <is>
          <t>YES</t>
        </is>
      </c>
      <c r="M398" s="2" t="inlineStr">
        <is>
          <t>MEDIUM</t>
        </is>
      </c>
      <c r="N398" s="2" t="inlineStr">
        <is>
          <t>READY</t>
        </is>
      </c>
      <c r="O398" s="3" t="inlineStr"/>
      <c r="P398" s="3" t="inlineStr"/>
      <c r="Q398" s="3" t="inlineStr"/>
      <c r="R398" s="3" t="inlineStr"/>
    </row>
    <row r="399" ht="20" customHeight="1">
      <c r="A399" s="4" t="inlineStr">
        <is>
          <t>ST398</t>
        </is>
      </c>
      <c r="B399" s="5" t="inlineStr">
        <is>
          <t>How to Calculate Percentage from Marksheets with Letter Grades Only</t>
        </is>
      </c>
      <c r="C399" s="4" t="inlineStr">
        <is>
          <t>Student</t>
        </is>
      </c>
      <c r="D399" s="5" t="inlineStr">
        <is>
          <t>Marks</t>
        </is>
      </c>
      <c r="E399" s="4" t="inlineStr">
        <is>
          <t>How-To</t>
        </is>
      </c>
      <c r="F399" s="4" t="inlineStr">
        <is>
          <t>How-To</t>
        </is>
      </c>
      <c r="G399" s="5" t="inlineStr">
        <is>
          <t>calculate percentage from letter grades marksheet</t>
        </is>
      </c>
      <c r="H399" s="5" t="inlineStr">
        <is>
          <t>converting a b c grades to percentage, letter grade midpoint calculation, international marksheet conversion</t>
        </is>
      </c>
      <c r="I399" s="5" t="inlineStr">
        <is>
          <t>Marks Percentage Calculator</t>
        </is>
      </c>
      <c r="J399" s="5" t="inlineStr">
        <is>
          <t>/student/marks-percentage</t>
        </is>
      </c>
      <c r="K399" s="5" t="inlineStr">
        <is>
          <t>Provide university-standard midpoint approximation tables for A+, A, B+, B, C, D letter grades when numerical marks are absent.</t>
        </is>
      </c>
      <c r="L399" s="4" t="inlineStr">
        <is>
          <t>YES</t>
        </is>
      </c>
      <c r="M399" s="4" t="inlineStr">
        <is>
          <t>MEDIUM</t>
        </is>
      </c>
      <c r="N399" s="4" t="inlineStr">
        <is>
          <t>READY</t>
        </is>
      </c>
      <c r="O399" s="5" t="inlineStr"/>
      <c r="P399" s="5" t="inlineStr"/>
      <c r="Q399" s="5" t="inlineStr"/>
      <c r="R399" s="5" t="inlineStr"/>
    </row>
    <row r="400" ht="20" customHeight="1">
      <c r="A400" s="2" t="inlineStr">
        <is>
          <t>ST399</t>
        </is>
      </c>
      <c r="B400" s="3" t="inlineStr">
        <is>
          <t>Rounding Off Rules for Board Examination Marks: When Does 74.8% Become 75%?</t>
        </is>
      </c>
      <c r="C400" s="2" t="inlineStr">
        <is>
          <t>Student</t>
        </is>
      </c>
      <c r="D400" s="3" t="inlineStr">
        <is>
          <t>Marks</t>
        </is>
      </c>
      <c r="E400" s="2" t="inlineStr">
        <is>
          <t>Explanation</t>
        </is>
      </c>
      <c r="F400" s="2" t="inlineStr">
        <is>
          <t>Reference</t>
        </is>
      </c>
      <c r="G400" s="3" t="inlineStr">
        <is>
          <t>rounding off rules board exam percentage</t>
        </is>
      </c>
      <c r="H400" s="3" t="inlineStr">
        <is>
          <t>is 74.6 rounded to 75 in cbse, engineering eligibility rounding off, truncation vs rounding marks</t>
        </is>
      </c>
      <c r="I400" s="3" t="inlineStr">
        <is>
          <t>Marks Percentage Calculator</t>
        </is>
      </c>
      <c r="J400" s="3" t="inlineStr">
        <is>
          <t>/student/marks-percentage</t>
        </is>
      </c>
      <c r="K400" s="3" t="inlineStr">
        <is>
          <t>Clarify that for competitive eligibility (JEE, JoSAA, NEET, IIMs), 74.9% is strictly NOT rounded up to 75.0%; exact precision is enforced.</t>
        </is>
      </c>
      <c r="L400" s="2" t="inlineStr">
        <is>
          <t>YES</t>
        </is>
      </c>
      <c r="M400" s="2" t="inlineStr">
        <is>
          <t>HIGH</t>
        </is>
      </c>
      <c r="N400" s="2" t="inlineStr">
        <is>
          <t>READY</t>
        </is>
      </c>
      <c r="O400" s="3" t="inlineStr"/>
      <c r="P400" s="3" t="inlineStr"/>
      <c r="Q400" s="3" t="inlineStr"/>
      <c r="R400" s="3" t="inlineStr"/>
    </row>
    <row r="401" ht="20" customHeight="1">
      <c r="A401" s="4" t="inlineStr">
        <is>
          <t>ST400</t>
        </is>
      </c>
      <c r="B401" s="5" t="inlineStr">
        <is>
          <t>How to Re-Calculate Percentage After Improvement or Compartment Exams</t>
        </is>
      </c>
      <c r="C401" s="4" t="inlineStr">
        <is>
          <t>Student</t>
        </is>
      </c>
      <c r="D401" s="5" t="inlineStr">
        <is>
          <t>Marks</t>
        </is>
      </c>
      <c r="E401" s="4" t="inlineStr">
        <is>
          <t>How-To</t>
        </is>
      </c>
      <c r="F401" s="4" t="inlineStr">
        <is>
          <t>How-To</t>
        </is>
      </c>
      <c r="G401" s="5" t="inlineStr">
        <is>
          <t>how improvement exam affects total percentage</t>
        </is>
      </c>
      <c r="H401" s="5" t="inlineStr">
        <is>
          <t>cbse improvement exam marksheet, combining original and improvement marks, new percentage calculation</t>
        </is>
      </c>
      <c r="I401" s="5" t="inlineStr">
        <is>
          <t>Marks Percentage Calculator</t>
        </is>
      </c>
      <c r="J401" s="5" t="inlineStr">
        <is>
          <t>/student/marks-percentage</t>
        </is>
      </c>
      <c r="K401" s="5" t="inlineStr">
        <is>
          <t>Explain how CBSE issues updated marksheets replacing old scores with improved scores, and how to compute the new revised aggregate percentage.</t>
        </is>
      </c>
      <c r="L401" s="4" t="inlineStr">
        <is>
          <t>YES</t>
        </is>
      </c>
      <c r="M401" s="4" t="inlineStr">
        <is>
          <t>HIGH</t>
        </is>
      </c>
      <c r="N401" s="4" t="inlineStr">
        <is>
          <t>READY</t>
        </is>
      </c>
      <c r="O401" s="5" t="inlineStr"/>
      <c r="P401" s="5" t="inlineStr"/>
      <c r="Q401" s="5" t="inlineStr"/>
      <c r="R401" s="5" t="inlineStr"/>
    </row>
    <row r="402" ht="20" customHeight="1">
      <c r="A402" s="2" t="inlineStr">
        <is>
          <t>ST401</t>
        </is>
      </c>
      <c r="B402" s="3" t="inlineStr">
        <is>
          <t>How to Calculate Passing Marks Percentage: Theory vs Practical Passing Criteria</t>
        </is>
      </c>
      <c r="C402" s="2" t="inlineStr">
        <is>
          <t>Student</t>
        </is>
      </c>
      <c r="D402" s="3" t="inlineStr">
        <is>
          <t>Marks</t>
        </is>
      </c>
      <c r="E402" s="2" t="inlineStr">
        <is>
          <t>Guide</t>
        </is>
      </c>
      <c r="F402" s="2" t="inlineStr">
        <is>
          <t>Reference</t>
        </is>
      </c>
      <c r="G402" s="3" t="inlineStr">
        <is>
          <t>passing marks percentage in board exams</t>
        </is>
      </c>
      <c r="H402" s="3" t="inlineStr">
        <is>
          <t>cbse 33 percent passing rule, separate passing in theory and practical, passing marks calculation</t>
        </is>
      </c>
      <c r="I402" s="3" t="inlineStr">
        <is>
          <t>Marks Percentage Calculator</t>
        </is>
      </c>
      <c r="J402" s="3" t="inlineStr">
        <is>
          <t>/student/marks-percentage</t>
        </is>
      </c>
      <c r="K402" s="3" t="inlineStr">
        <is>
          <t>Explain the mandatory 33% rule in CBSE (requiring 33% separately in theory and 33% in practical) and state board equivalents (35%).</t>
        </is>
      </c>
      <c r="L402" s="2" t="inlineStr">
        <is>
          <t>YES</t>
        </is>
      </c>
      <c r="M402" s="2" t="inlineStr">
        <is>
          <t>HIGH</t>
        </is>
      </c>
      <c r="N402" s="2" t="inlineStr">
        <is>
          <t>READY</t>
        </is>
      </c>
      <c r="O402" s="3" t="inlineStr"/>
      <c r="P402" s="3" t="inlineStr"/>
      <c r="Q402" s="3" t="inlineStr"/>
      <c r="R402" s="3" t="inlineStr"/>
    </row>
    <row r="403" ht="20" customHeight="1">
      <c r="A403" s="4" t="inlineStr">
        <is>
          <t>ST402</t>
        </is>
      </c>
      <c r="B403" s="5" t="inlineStr">
        <is>
          <t>How to Calculate Percentage for B.Tech Students with Backlogs or Arrears Cleared</t>
        </is>
      </c>
      <c r="C403" s="4" t="inlineStr">
        <is>
          <t>Student</t>
        </is>
      </c>
      <c r="D403" s="5" t="inlineStr">
        <is>
          <t>Marks</t>
        </is>
      </c>
      <c r="E403" s="4" t="inlineStr">
        <is>
          <t>How-To</t>
        </is>
      </c>
      <c r="F403" s="4" t="inlineStr">
        <is>
          <t>How-To</t>
        </is>
      </c>
      <c r="G403" s="5" t="inlineStr">
        <is>
          <t>calculating degree percentage with cleared backlogs</t>
        </is>
      </c>
      <c r="H403" s="5" t="inlineStr">
        <is>
          <t>clearing arrears marks calculation, does backlog lower final percentage, btech aggregate marks</t>
        </is>
      </c>
      <c r="I403" s="5" t="inlineStr">
        <is>
          <t>Marks Percentage Calculator</t>
        </is>
      </c>
      <c r="J403" s="5" t="inlineStr">
        <is>
          <t>/student/marks-percentage</t>
        </is>
      </c>
      <c r="K403" s="5" t="inlineStr">
        <is>
          <t>Explain whether universities retain original failing marks or substitute cleared passing marks on final consolidated marksheets.</t>
        </is>
      </c>
      <c r="L403" s="4" t="inlineStr">
        <is>
          <t>YES</t>
        </is>
      </c>
      <c r="M403" s="4" t="inlineStr">
        <is>
          <t>HIGH</t>
        </is>
      </c>
      <c r="N403" s="4" t="inlineStr">
        <is>
          <t>READY</t>
        </is>
      </c>
      <c r="O403" s="5" t="inlineStr"/>
      <c r="P403" s="5" t="inlineStr"/>
      <c r="Q403" s="5" t="inlineStr"/>
      <c r="R403" s="5" t="inlineStr"/>
    </row>
    <row r="404" ht="20" customHeight="1">
      <c r="A404" s="2" t="inlineStr">
        <is>
          <t>ST403</t>
        </is>
      </c>
      <c r="B404" s="3" t="inlineStr">
        <is>
          <t>Calculating Total Marks Percentage for Vocational and Skill Subjects in Class 10</t>
        </is>
      </c>
      <c r="C404" s="2" t="inlineStr">
        <is>
          <t>Student</t>
        </is>
      </c>
      <c r="D404" s="3" t="inlineStr">
        <is>
          <t>Marks</t>
        </is>
      </c>
      <c r="E404" s="2" t="inlineStr">
        <is>
          <t>Guide</t>
        </is>
      </c>
      <c r="F404" s="2" t="inlineStr">
        <is>
          <t>How-To</t>
        </is>
      </c>
      <c r="G404" s="3" t="inlineStr">
        <is>
          <t>how vocational subject marks are added in 10th percentage</t>
        </is>
      </c>
      <c r="H404" s="3" t="inlineStr">
        <is>
          <t>cbse skill subject marks replacement rule, it 402 marks calculation, 6th subject replacement criteria</t>
        </is>
      </c>
      <c r="I404" s="3" t="inlineStr">
        <is>
          <t>Marks Percentage Calculator</t>
        </is>
      </c>
      <c r="J404" s="3" t="inlineStr">
        <is>
          <t>/student/marks-percentage</t>
        </is>
      </c>
      <c r="K404" s="3" t="inlineStr">
        <is>
          <t>Explain how Information Technology (IT 402) or other skill subjects can replace a failed or lower score in Science, Maths, or Social Science.</t>
        </is>
      </c>
      <c r="L404" s="2" t="inlineStr">
        <is>
          <t>YES</t>
        </is>
      </c>
      <c r="M404" s="2" t="inlineStr">
        <is>
          <t>HIGH</t>
        </is>
      </c>
      <c r="N404" s="2" t="inlineStr">
        <is>
          <t>READY</t>
        </is>
      </c>
      <c r="O404" s="3" t="inlineStr"/>
      <c r="P404" s="3" t="inlineStr"/>
      <c r="Q404" s="3" t="inlineStr"/>
      <c r="R404" s="3" t="inlineStr"/>
    </row>
    <row r="405" ht="20" customHeight="1">
      <c r="A405" s="4" t="inlineStr">
        <is>
          <t>ST404</t>
        </is>
      </c>
      <c r="B405" s="5" t="inlineStr">
        <is>
          <t>How to Calculate Percentage for Distance Education Degrees (IGNOU, SOL, Open Univ)</t>
        </is>
      </c>
      <c r="C405" s="4" t="inlineStr">
        <is>
          <t>Student</t>
        </is>
      </c>
      <c r="D405" s="5" t="inlineStr">
        <is>
          <t>Marks</t>
        </is>
      </c>
      <c r="E405" s="4" t="inlineStr">
        <is>
          <t>How-To</t>
        </is>
      </c>
      <c r="F405" s="4" t="inlineStr">
        <is>
          <t>How-To</t>
        </is>
      </c>
      <c r="G405" s="5" t="inlineStr">
        <is>
          <t>how to calculate ignou marks percentage</t>
        </is>
      </c>
      <c r="H405" s="5" t="inlineStr">
        <is>
          <t>ignou assignment and term end exam percentage, ignou grade card calculation, open university percentage</t>
        </is>
      </c>
      <c r="I405" s="5" t="inlineStr">
        <is>
          <t>Marks Percentage Calculator</t>
        </is>
      </c>
      <c r="J405" s="5" t="inlineStr">
        <is>
          <t>/student/marks-percentage</t>
        </is>
      </c>
      <c r="K405" s="5" t="inlineStr">
        <is>
          <t>Explain IGNOU's 30% assignment + 70% Term-End Examination (TEE) weighting formula, and converting grade card scores into final aggregate percentage.</t>
        </is>
      </c>
      <c r="L405" s="4" t="inlineStr">
        <is>
          <t>YES</t>
        </is>
      </c>
      <c r="M405" s="4" t="inlineStr">
        <is>
          <t>HIGH</t>
        </is>
      </c>
      <c r="N405" s="4" t="inlineStr">
        <is>
          <t>READY</t>
        </is>
      </c>
      <c r="O405" s="5" t="inlineStr"/>
      <c r="P405" s="5" t="inlineStr"/>
      <c r="Q405" s="5" t="inlineStr"/>
      <c r="R405" s="5" t="inlineStr"/>
    </row>
    <row r="406" ht="20" customHeight="1">
      <c r="A406" s="2" t="inlineStr">
        <is>
          <t>ST405</t>
        </is>
      </c>
      <c r="B406" s="3" t="inlineStr">
        <is>
          <t>Top 20 Percentile Calculation for JEE Eligibility: How State Boards Calculate It</t>
        </is>
      </c>
      <c r="C406" s="2" t="inlineStr">
        <is>
          <t>Student</t>
        </is>
      </c>
      <c r="D406" s="3" t="inlineStr">
        <is>
          <t>Marks</t>
        </is>
      </c>
      <c r="E406" s="2" t="inlineStr">
        <is>
          <t>Explanation</t>
        </is>
      </c>
      <c r="F406" s="2" t="inlineStr">
        <is>
          <t>Reference</t>
        </is>
      </c>
      <c r="G406" s="3" t="inlineStr">
        <is>
          <t>how top 20 percentile is calculated for jee</t>
        </is>
      </c>
      <c r="H406" s="3" t="inlineStr">
        <is>
          <t>top 20 percentile cutoff marks state wise, board category top 20 percentile, jee 75 criteria alternative</t>
        </is>
      </c>
      <c r="I406" s="3" t="inlineStr">
        <is>
          <t>Marks Percentage Calculator</t>
        </is>
      </c>
      <c r="J406" s="3" t="inlineStr">
        <is>
          <t>/student/marks-percentage</t>
        </is>
      </c>
      <c r="K406" s="3" t="inlineStr">
        <is>
          <t>Explain how NTA collects cutoffs from each state board across categories, and how candidates scoring under 75% can still qualify via top 20 percentile.</t>
        </is>
      </c>
      <c r="L406" s="2" t="inlineStr">
        <is>
          <t>YES</t>
        </is>
      </c>
      <c r="M406" s="2" t="inlineStr">
        <is>
          <t>HIGH</t>
        </is>
      </c>
      <c r="N406" s="2" t="inlineStr">
        <is>
          <t>READY</t>
        </is>
      </c>
      <c r="O406" s="3" t="inlineStr"/>
      <c r="P406" s="3" t="inlineStr"/>
      <c r="Q406" s="3" t="inlineStr"/>
      <c r="R406" s="3" t="inlineStr"/>
    </row>
    <row r="407" ht="20" customHeight="1">
      <c r="A407" s="4" t="inlineStr">
        <is>
          <t>ST406</t>
        </is>
      </c>
      <c r="B407" s="5" t="inlineStr">
        <is>
          <t>How to Calculate Subject-Wise Weightage Percentage in Competitive Exam Syllabi</t>
        </is>
      </c>
      <c r="C407" s="4" t="inlineStr">
        <is>
          <t>Student</t>
        </is>
      </c>
      <c r="D407" s="5" t="inlineStr">
        <is>
          <t>Marks</t>
        </is>
      </c>
      <c r="E407" s="4" t="inlineStr">
        <is>
          <t>How-To</t>
        </is>
      </c>
      <c r="F407" s="4" t="inlineStr">
        <is>
          <t>Planning</t>
        </is>
      </c>
      <c r="G407" s="5" t="inlineStr">
        <is>
          <t>subject weightage percentage calculation</t>
        </is>
      </c>
      <c r="H407" s="5" t="inlineStr">
        <is>
          <t>calculating chapter weightage from pyqs, syllabus weightage percentage, prioritizing high weight topics</t>
        </is>
      </c>
      <c r="I407" s="5" t="inlineStr">
        <is>
          <t>Marks Percentage Calculator</t>
        </is>
      </c>
      <c r="J407" s="5" t="inlineStr">
        <is>
          <t>/student/marks-percentage</t>
        </is>
      </c>
      <c r="K407" s="5" t="inlineStr">
        <is>
          <t>Step-by-step formula: (Questions Asked from Topic * Marks per Question) / Total Exam Marks * 100, across 5 years of exam papers.</t>
        </is>
      </c>
      <c r="L407" s="4" t="inlineStr">
        <is>
          <t>YES</t>
        </is>
      </c>
      <c r="M407" s="4" t="inlineStr">
        <is>
          <t>MEDIUM</t>
        </is>
      </c>
      <c r="N407" s="4" t="inlineStr">
        <is>
          <t>READY</t>
        </is>
      </c>
      <c r="O407" s="5" t="inlineStr"/>
      <c r="P407" s="5" t="inlineStr"/>
      <c r="Q407" s="5" t="inlineStr"/>
      <c r="R407" s="5" t="inlineStr"/>
    </row>
    <row r="408" ht="20" customHeight="1">
      <c r="A408" s="2" t="inlineStr">
        <is>
          <t>ST407</t>
        </is>
      </c>
      <c r="B408" s="3" t="inlineStr">
        <is>
          <t>How to Convert a 500-Mark Total to a 100-Point Percentage Scale Instantly</t>
        </is>
      </c>
      <c r="C408" s="2" t="inlineStr">
        <is>
          <t>Student</t>
        </is>
      </c>
      <c r="D408" s="3" t="inlineStr">
        <is>
          <t>Marks</t>
        </is>
      </c>
      <c r="E408" s="2" t="inlineStr">
        <is>
          <t>How-To</t>
        </is>
      </c>
      <c r="F408" s="2" t="inlineStr">
        <is>
          <t>How-To</t>
        </is>
      </c>
      <c r="G408" s="3" t="inlineStr">
        <is>
          <t>convert 500 mark total to percentage</t>
        </is>
      </c>
      <c r="H408" s="3" t="inlineStr">
        <is>
          <t>quick formula for 500 marks, division by 5 percentage, 10th marks conversion</t>
        </is>
      </c>
      <c r="I408" s="3" t="inlineStr">
        <is>
          <t>Marks Percentage Calculator</t>
        </is>
      </c>
      <c r="J408" s="3" t="inlineStr">
        <is>
          <t>/student/marks-percentage</t>
        </is>
      </c>
      <c r="K408" s="3" t="inlineStr">
        <is>
          <t>Explain why dividing by 5 works mathematically: (Total / 500) * 100 = Total / 5. Include quick calculation mental math shortcuts.</t>
        </is>
      </c>
      <c r="L408" s="2" t="inlineStr">
        <is>
          <t>YES</t>
        </is>
      </c>
      <c r="M408" s="2" t="inlineStr">
        <is>
          <t>LOW</t>
        </is>
      </c>
      <c r="N408" s="2" t="inlineStr">
        <is>
          <t>READY</t>
        </is>
      </c>
      <c r="O408" s="3" t="inlineStr"/>
      <c r="P408" s="3" t="inlineStr"/>
      <c r="Q408" s="3" t="inlineStr"/>
      <c r="R408" s="3" t="inlineStr"/>
    </row>
    <row r="409" ht="20" customHeight="1">
      <c r="A409" s="4" t="inlineStr">
        <is>
          <t>ST408</t>
        </is>
      </c>
      <c r="B409" s="5" t="inlineStr">
        <is>
          <t>How to Convert a 600-Mark Total to a 100-Point Percentage Scale Instantly</t>
        </is>
      </c>
      <c r="C409" s="4" t="inlineStr">
        <is>
          <t>Student</t>
        </is>
      </c>
      <c r="D409" s="5" t="inlineStr">
        <is>
          <t>Marks</t>
        </is>
      </c>
      <c r="E409" s="4" t="inlineStr">
        <is>
          <t>How-To</t>
        </is>
      </c>
      <c r="F409" s="4" t="inlineStr">
        <is>
          <t>How-To</t>
        </is>
      </c>
      <c r="G409" s="5" t="inlineStr">
        <is>
          <t>convert 600 mark total to percentage</t>
        </is>
      </c>
      <c r="H409" s="5" t="inlineStr">
        <is>
          <t>quick formula for 600 marks, division by 6 percentage, state board marks conversion</t>
        </is>
      </c>
      <c r="I409" s="5" t="inlineStr">
        <is>
          <t>Marks Percentage Calculator</t>
        </is>
      </c>
      <c r="J409" s="5" t="inlineStr">
        <is>
          <t>/student/marks-percentage</t>
        </is>
      </c>
      <c r="K409" s="5" t="inlineStr">
        <is>
          <t>Explain why dividing by 6 works mathematically: (Total / 600) * 100 = Total / 6. Provide worked examples and decimal rounding rules.</t>
        </is>
      </c>
      <c r="L409" s="4" t="inlineStr">
        <is>
          <t>YES</t>
        </is>
      </c>
      <c r="M409" s="4" t="inlineStr">
        <is>
          <t>LOW</t>
        </is>
      </c>
      <c r="N409" s="4" t="inlineStr">
        <is>
          <t>READY</t>
        </is>
      </c>
      <c r="O409" s="5" t="inlineStr"/>
      <c r="P409" s="5" t="inlineStr"/>
      <c r="Q409" s="5" t="inlineStr"/>
      <c r="R409" s="5" t="inlineStr"/>
    </row>
    <row r="410" ht="20" customHeight="1">
      <c r="A410" s="2" t="inlineStr">
        <is>
          <t>ST409</t>
        </is>
      </c>
      <c r="B410" s="3" t="inlineStr">
        <is>
          <t>How to Convert a 700-Mark Total to a 100-Point Percentage Scale Instantly</t>
        </is>
      </c>
      <c r="C410" s="2" t="inlineStr">
        <is>
          <t>Student</t>
        </is>
      </c>
      <c r="D410" s="3" t="inlineStr">
        <is>
          <t>Marks</t>
        </is>
      </c>
      <c r="E410" s="2" t="inlineStr">
        <is>
          <t>How-To</t>
        </is>
      </c>
      <c r="F410" s="2" t="inlineStr">
        <is>
          <t>How-To</t>
        </is>
      </c>
      <c r="G410" s="3" t="inlineStr">
        <is>
          <t>convert 700 mark total to percentage</t>
        </is>
      </c>
      <c r="H410" s="3" t="inlineStr">
        <is>
          <t>marks out of 700 to percentage, 7 subject percentage calculation, divide by 7 formula</t>
        </is>
      </c>
      <c r="I410" s="3" t="inlineStr">
        <is>
          <t>Marks Percentage Calculator</t>
        </is>
      </c>
      <c r="J410" s="3" t="inlineStr">
        <is>
          <t>/student/marks-percentage</t>
        </is>
      </c>
      <c r="K410" s="3" t="inlineStr">
        <is>
          <t>Explain why dividing by 7 works mathematically: (Total / 700) * 100 = Total / 7, with mental math estimation techniques.</t>
        </is>
      </c>
      <c r="L410" s="2" t="inlineStr">
        <is>
          <t>YES</t>
        </is>
      </c>
      <c r="M410" s="2" t="inlineStr">
        <is>
          <t>LOW</t>
        </is>
      </c>
      <c r="N410" s="2" t="inlineStr">
        <is>
          <t>READY</t>
        </is>
      </c>
      <c r="O410" s="3" t="inlineStr"/>
      <c r="P410" s="3" t="inlineStr"/>
      <c r="Q410" s="3" t="inlineStr"/>
      <c r="R410" s="3" t="inlineStr"/>
    </row>
    <row r="411" ht="20" customHeight="1">
      <c r="A411" s="4" t="inlineStr">
        <is>
          <t>ST410</t>
        </is>
      </c>
      <c r="B411" s="5" t="inlineStr">
        <is>
          <t>How to Convert a 1000-Mark Degree Total to Percentage Instantly</t>
        </is>
      </c>
      <c r="C411" s="4" t="inlineStr">
        <is>
          <t>Student</t>
        </is>
      </c>
      <c r="D411" s="5" t="inlineStr">
        <is>
          <t>Marks</t>
        </is>
      </c>
      <c r="E411" s="4" t="inlineStr">
        <is>
          <t>How-To</t>
        </is>
      </c>
      <c r="F411" s="4" t="inlineStr">
        <is>
          <t>How-To</t>
        </is>
      </c>
      <c r="G411" s="5" t="inlineStr">
        <is>
          <t>convert 1000 mark total to percentage</t>
        </is>
      </c>
      <c r="H411" s="5" t="inlineStr">
        <is>
          <t>marks out of 1000 to percentage, dividing by 10 percentage, annual exam marks calculation</t>
        </is>
      </c>
      <c r="I411" s="5" t="inlineStr">
        <is>
          <t>Marks Percentage Calculator</t>
        </is>
      </c>
      <c r="J411" s="5" t="inlineStr">
        <is>
          <t>/student/marks-percentage</t>
        </is>
      </c>
      <c r="K411" s="5" t="inlineStr">
        <is>
          <t>Demonstrate the simple divide-by-10 rule: 742/1000 = 74.2%, with zero rounding ambiguity.</t>
        </is>
      </c>
      <c r="L411" s="4" t="inlineStr">
        <is>
          <t>YES</t>
        </is>
      </c>
      <c r="M411" s="4" t="inlineStr">
        <is>
          <t>LOW</t>
        </is>
      </c>
      <c r="N411" s="4" t="inlineStr">
        <is>
          <t>READY</t>
        </is>
      </c>
      <c r="O411" s="5" t="inlineStr"/>
      <c r="P411" s="5" t="inlineStr"/>
      <c r="Q411" s="5" t="inlineStr"/>
      <c r="R411" s="5" t="inlineStr"/>
    </row>
    <row r="412" ht="20" customHeight="1">
      <c r="A412" s="2" t="inlineStr">
        <is>
          <t>ST411</t>
        </is>
      </c>
      <c r="B412" s="3" t="inlineStr">
        <is>
          <t>How Practical Exam Viva Marks Affect Your Overall Subject Percentage</t>
        </is>
      </c>
      <c r="C412" s="2" t="inlineStr">
        <is>
          <t>Student</t>
        </is>
      </c>
      <c r="D412" s="3" t="inlineStr">
        <is>
          <t>Marks</t>
        </is>
      </c>
      <c r="E412" s="2" t="inlineStr">
        <is>
          <t>Explanation</t>
        </is>
      </c>
      <c r="F412" s="2" t="inlineStr">
        <is>
          <t>Educational</t>
        </is>
      </c>
      <c r="G412" s="3" t="inlineStr">
        <is>
          <t>how viva marks affect practical percentage</t>
        </is>
      </c>
      <c r="H412" s="3" t="inlineStr">
        <is>
          <t>internal assessment viva weightage, practical marks breakdown, gaining percentage in practicals</t>
        </is>
      </c>
      <c r="I412" s="3" t="inlineStr">
        <is>
          <t>Marks Percentage Calculator</t>
        </is>
      </c>
      <c r="J412" s="3" t="inlineStr">
        <is>
          <t>/student/marks-percentage</t>
        </is>
      </c>
      <c r="K412" s="3" t="inlineStr">
        <is>
          <t>Analyze the breakdown of practical components: experiment performance, lab record book, project report, and external examiner viva.</t>
        </is>
      </c>
      <c r="L412" s="2" t="inlineStr">
        <is>
          <t>YES</t>
        </is>
      </c>
      <c r="M412" s="2" t="inlineStr">
        <is>
          <t>MEDIUM</t>
        </is>
      </c>
      <c r="N412" s="2" t="inlineStr">
        <is>
          <t>READY</t>
        </is>
      </c>
      <c r="O412" s="3" t="inlineStr"/>
      <c r="P412" s="3" t="inlineStr"/>
      <c r="Q412" s="3" t="inlineStr"/>
      <c r="R412" s="3" t="inlineStr"/>
    </row>
    <row r="413" ht="20" customHeight="1">
      <c r="A413" s="4" t="inlineStr">
        <is>
          <t>ST412</t>
        </is>
      </c>
      <c r="B413" s="5" t="inlineStr">
        <is>
          <t>Calculating Total Marks Percentage for Lateral Entry Diploma to B.Tech Students</t>
        </is>
      </c>
      <c r="C413" s="4" t="inlineStr">
        <is>
          <t>Student</t>
        </is>
      </c>
      <c r="D413" s="5" t="inlineStr">
        <is>
          <t>Marks</t>
        </is>
      </c>
      <c r="E413" s="4" t="inlineStr">
        <is>
          <t>Guide</t>
        </is>
      </c>
      <c r="F413" s="4" t="inlineStr">
        <is>
          <t>How-To</t>
        </is>
      </c>
      <c r="G413" s="5" t="inlineStr">
        <is>
          <t>lateral entry diploma percentage calculation</t>
        </is>
      </c>
      <c r="H413" s="5" t="inlineStr">
        <is>
          <t>polytechnic diploma percentage for btech, calculating 2nd year admission percentage, diploma aggregate marks</t>
        </is>
      </c>
      <c r="I413" s="5" t="inlineStr">
        <is>
          <t>Marks Percentage Calculator</t>
        </is>
      </c>
      <c r="J413" s="5" t="inlineStr">
        <is>
          <t>/student/marks-percentage</t>
        </is>
      </c>
      <c r="K413" s="5" t="inlineStr">
        <is>
          <t>Explain how state technical boards calculate 3-year diploma percentage (e.g. 25% 1st year + 50% 2nd year + 100% 3rd year) for lateral entry admissions.</t>
        </is>
      </c>
      <c r="L413" s="4" t="inlineStr">
        <is>
          <t>YES</t>
        </is>
      </c>
      <c r="M413" s="4" t="inlineStr">
        <is>
          <t>MEDIUM</t>
        </is>
      </c>
      <c r="N413" s="4" t="inlineStr">
        <is>
          <t>READY</t>
        </is>
      </c>
      <c r="O413" s="5" t="inlineStr"/>
      <c r="P413" s="5" t="inlineStr"/>
      <c r="Q413" s="5" t="inlineStr"/>
      <c r="R413" s="5" t="inlineStr"/>
    </row>
    <row r="414" ht="20" customHeight="1">
      <c r="A414" s="2" t="inlineStr">
        <is>
          <t>ST413</t>
        </is>
      </c>
      <c r="B414" s="3" t="inlineStr">
        <is>
          <t>How to Calculate CBSE Class 12 Marks Percentage with 6 Subjects for DU Admissions</t>
        </is>
      </c>
      <c r="C414" s="2" t="inlineStr">
        <is>
          <t>Student</t>
        </is>
      </c>
      <c r="D414" s="3" t="inlineStr">
        <is>
          <t>Marks</t>
        </is>
      </c>
      <c r="E414" s="2" t="inlineStr">
        <is>
          <t>Guide</t>
        </is>
      </c>
      <c r="F414" s="2" t="inlineStr">
        <is>
          <t>How-To</t>
        </is>
      </c>
      <c r="G414" s="3" t="inlineStr">
        <is>
          <t>cbse 6 subjects percentage for du</t>
        </is>
      </c>
      <c r="H414" s="3" t="inlineStr">
        <is>
          <t>best 4 calculation with 6 subjects, delhi university subject mapping, additional subject rules</t>
        </is>
      </c>
      <c r="I414" s="3" t="inlineStr">
        <is>
          <t>Marks Percentage Calculator</t>
        </is>
      </c>
      <c r="J414" s="3" t="inlineStr">
        <is>
          <t>/student/marks-percentage</t>
        </is>
      </c>
      <c r="K414" s="3" t="inlineStr">
        <is>
          <t>Explain DU's CUET and non-CUET eligibility rules: how additional subjects can act as backups if they match recognized academic discipline lists.</t>
        </is>
      </c>
      <c r="L414" s="2" t="inlineStr">
        <is>
          <t>YES</t>
        </is>
      </c>
      <c r="M414" s="2" t="inlineStr">
        <is>
          <t>HIGH</t>
        </is>
      </c>
      <c r="N414" s="2" t="inlineStr">
        <is>
          <t>READY</t>
        </is>
      </c>
      <c r="O414" s="3" t="inlineStr"/>
      <c r="P414" s="3" t="inlineStr"/>
      <c r="Q414" s="3" t="inlineStr"/>
      <c r="R414" s="3" t="inlineStr"/>
    </row>
    <row r="415" ht="20" customHeight="1">
      <c r="A415" s="4" t="inlineStr">
        <is>
          <t>ST414</t>
        </is>
      </c>
      <c r="B415" s="5" t="inlineStr">
        <is>
          <t>Why Do Employers Ask for Aggregate Percentage Instead of Final Year Percentage?</t>
        </is>
      </c>
      <c r="C415" s="4" t="inlineStr">
        <is>
          <t>Student</t>
        </is>
      </c>
      <c r="D415" s="5" t="inlineStr">
        <is>
          <t>Marks</t>
        </is>
      </c>
      <c r="E415" s="4" t="inlineStr">
        <is>
          <t>Explanation</t>
        </is>
      </c>
      <c r="F415" s="4" t="inlineStr">
        <is>
          <t>Informational</t>
        </is>
      </c>
      <c r="G415" s="5" t="inlineStr">
        <is>
          <t>aggregate percentage vs final year percentage</t>
        </is>
      </c>
      <c r="H415" s="5" t="inlineStr">
        <is>
          <t>all semester percentage vs last year, campus placement aggregate criteria, corporate eligibility rules</t>
        </is>
      </c>
      <c r="I415" s="5" t="inlineStr">
        <is>
          <t>Marks Percentage Calculator</t>
        </is>
      </c>
      <c r="J415" s="5" t="inlineStr">
        <is>
          <t>/student/marks-percentage</t>
        </is>
      </c>
      <c r="K415" s="5" t="inlineStr">
        <is>
          <t>Explain corporate hiring standards: why consistent performance across all semesters (1 to 8) is required rather than a spike in final-year elective grades.</t>
        </is>
      </c>
      <c r="L415" s="4" t="inlineStr">
        <is>
          <t>YES</t>
        </is>
      </c>
      <c r="M415" s="4" t="inlineStr">
        <is>
          <t>HIGH</t>
        </is>
      </c>
      <c r="N415" s="4" t="inlineStr">
        <is>
          <t>READY</t>
        </is>
      </c>
      <c r="O415" s="5" t="inlineStr"/>
      <c r="P415" s="5" t="inlineStr"/>
      <c r="Q415" s="5" t="inlineStr"/>
      <c r="R415" s="5" t="inlineStr"/>
    </row>
    <row r="416" ht="20" customHeight="1">
      <c r="A416" s="2" t="inlineStr">
        <is>
          <t>ST415</t>
        </is>
      </c>
      <c r="B416" s="3" t="inlineStr">
        <is>
          <t>How to Calculate Percentage of Marks Scored in Medical MBBS Professional Exams</t>
        </is>
      </c>
      <c r="C416" s="2" t="inlineStr">
        <is>
          <t>Student</t>
        </is>
      </c>
      <c r="D416" s="3" t="inlineStr">
        <is>
          <t>Marks</t>
        </is>
      </c>
      <c r="E416" s="2" t="inlineStr">
        <is>
          <t>Guide</t>
        </is>
      </c>
      <c r="F416" s="2" t="inlineStr">
        <is>
          <t>Reference</t>
        </is>
      </c>
      <c r="G416" s="3" t="inlineStr">
        <is>
          <t>how to calculate mbbs professional exam percentage</t>
        </is>
      </c>
      <c r="H416" s="3" t="inlineStr">
        <is>
          <t>mbbs marks percentage calculation, nmc pass criteria mbbs, internal vs university exam mbbs</t>
        </is>
      </c>
      <c r="I416" s="3" t="inlineStr">
        <is>
          <t>Marks Percentage Calculator</t>
        </is>
      </c>
      <c r="J416" s="3" t="inlineStr">
        <is>
          <t>/student/marks-percentage</t>
        </is>
      </c>
      <c r="K416" s="3" t="inlineStr">
        <is>
          <t>Explain NMC regulations: mandatory 50% aggregate passing criteria in theory and practicals separately, and calculating overall professional exam percentages.</t>
        </is>
      </c>
      <c r="L416" s="2" t="inlineStr">
        <is>
          <t>YES</t>
        </is>
      </c>
      <c r="M416" s="2" t="inlineStr">
        <is>
          <t>HIGH</t>
        </is>
      </c>
      <c r="N416" s="2" t="inlineStr">
        <is>
          <t>READY</t>
        </is>
      </c>
      <c r="O416" s="3" t="inlineStr"/>
      <c r="P416" s="3" t="inlineStr"/>
      <c r="Q416" s="3" t="inlineStr"/>
      <c r="R416" s="3" t="inlineStr"/>
    </row>
    <row r="417" ht="20" customHeight="1">
      <c r="A417" s="4" t="inlineStr">
        <is>
          <t>ST416</t>
        </is>
      </c>
      <c r="B417" s="5" t="inlineStr">
        <is>
          <t>How to Calculate Marks Percentage for Law Students Under Bar Council of India Rules</t>
        </is>
      </c>
      <c r="C417" s="4" t="inlineStr">
        <is>
          <t>Student</t>
        </is>
      </c>
      <c r="D417" s="5" t="inlineStr">
        <is>
          <t>Marks</t>
        </is>
      </c>
      <c r="E417" s="4" t="inlineStr">
        <is>
          <t>Guide</t>
        </is>
      </c>
      <c r="F417" s="4" t="inlineStr">
        <is>
          <t>Reference</t>
        </is>
      </c>
      <c r="G417" s="5" t="inlineStr">
        <is>
          <t>bci law exam percentage rules</t>
        </is>
      </c>
      <c r="H417" s="5" t="inlineStr">
        <is>
          <t>llb passing percentage, bar council of india marks criteria, 5 year ba llb percentage calculation</t>
        </is>
      </c>
      <c r="I417" s="5" t="inlineStr">
        <is>
          <t>Marks Percentage Calculator</t>
        </is>
      </c>
      <c r="J417" s="5" t="inlineStr">
        <is>
          <t>/student/marks-percentage</t>
        </is>
      </c>
      <c r="K417" s="5" t="inlineStr">
        <is>
          <t>Review BCI guidelines: minimum 45% for general category (40% SC/ST) in qualifying exams, and computing semester marks percentages across law subjects.</t>
        </is>
      </c>
      <c r="L417" s="4" t="inlineStr">
        <is>
          <t>YES</t>
        </is>
      </c>
      <c r="M417" s="4" t="inlineStr">
        <is>
          <t>MEDIUM</t>
        </is>
      </c>
      <c r="N417" s="4" t="inlineStr">
        <is>
          <t>READY</t>
        </is>
      </c>
      <c r="O417" s="5" t="inlineStr"/>
      <c r="P417" s="5" t="inlineStr"/>
      <c r="Q417" s="5" t="inlineStr"/>
      <c r="R417" s="5" t="inlineStr"/>
    </row>
    <row r="418" ht="20" customHeight="1">
      <c r="A418" s="2" t="inlineStr">
        <is>
          <t>ST417</t>
        </is>
      </c>
      <c r="B418" s="3" t="inlineStr">
        <is>
          <t>Calculating Percentage for Autonomous College Marksheets with Relative Grading</t>
        </is>
      </c>
      <c r="C418" s="2" t="inlineStr">
        <is>
          <t>Student</t>
        </is>
      </c>
      <c r="D418" s="3" t="inlineStr">
        <is>
          <t>Marks</t>
        </is>
      </c>
      <c r="E418" s="2" t="inlineStr">
        <is>
          <t>Guide</t>
        </is>
      </c>
      <c r="F418" s="2" t="inlineStr">
        <is>
          <t>Educational</t>
        </is>
      </c>
      <c r="G418" s="3" t="inlineStr">
        <is>
          <t>autonomous college marks percentage calculation</t>
        </is>
      </c>
      <c r="H418" s="3" t="inlineStr">
        <is>
          <t>relative grading percentage formula, autonomous vs affiliated marks calculation, transcript percentage</t>
        </is>
      </c>
      <c r="I418" s="3" t="inlineStr">
        <is>
          <t>Marks Percentage Calculator</t>
        </is>
      </c>
      <c r="J418" s="3" t="inlineStr">
        <is>
          <t>/student/marks-percentage</t>
        </is>
      </c>
      <c r="K418" s="3" t="inlineStr">
        <is>
          <t>Explain why autonomous colleges under UGC provide a dedicated conversion formula on the reverse side of grade sheets for relative grading systems.</t>
        </is>
      </c>
      <c r="L418" s="2" t="inlineStr">
        <is>
          <t>YES</t>
        </is>
      </c>
      <c r="M418" s="2" t="inlineStr">
        <is>
          <t>HIGH</t>
        </is>
      </c>
      <c r="N418" s="2" t="inlineStr">
        <is>
          <t>READY</t>
        </is>
      </c>
      <c r="O418" s="3" t="inlineStr"/>
      <c r="P418" s="3" t="inlineStr"/>
      <c r="Q418" s="3" t="inlineStr"/>
      <c r="R418" s="3" t="inlineStr"/>
    </row>
    <row r="419" ht="20" customHeight="1">
      <c r="A419" s="4" t="inlineStr">
        <is>
          <t>ST418</t>
        </is>
      </c>
      <c r="B419" s="5" t="inlineStr">
        <is>
          <t>How to Calculate Percentage for B.Ed (Bachelor of Education) Marksheets</t>
        </is>
      </c>
      <c r="C419" s="4" t="inlineStr">
        <is>
          <t>Student</t>
        </is>
      </c>
      <c r="D419" s="5" t="inlineStr">
        <is>
          <t>Marks</t>
        </is>
      </c>
      <c r="E419" s="4" t="inlineStr">
        <is>
          <t>How-To</t>
        </is>
      </c>
      <c r="F419" s="4" t="inlineStr">
        <is>
          <t>How-To</t>
        </is>
      </c>
      <c r="G419" s="5" t="inlineStr">
        <is>
          <t>how to calculate bed percentage</t>
        </is>
      </c>
      <c r="H419" s="5" t="inlineStr">
        <is>
          <t>b ed theory and practical marks percentage, teacher recruitment percentage calculation, bed aggregate marks</t>
        </is>
      </c>
      <c r="I419" s="5" t="inlineStr">
        <is>
          <t>Marks Percentage Calculator</t>
        </is>
      </c>
      <c r="J419" s="5" t="inlineStr">
        <is>
          <t>/student/marks-percentage</t>
        </is>
      </c>
      <c r="K419" s="5" t="inlineStr">
        <is>
          <t>Explain how teaching internship and practical marks are balanced against core educational psychology and pedagogy theory papers.</t>
        </is>
      </c>
      <c r="L419" s="4" t="inlineStr">
        <is>
          <t>YES</t>
        </is>
      </c>
      <c r="M419" s="4" t="inlineStr">
        <is>
          <t>MEDIUM</t>
        </is>
      </c>
      <c r="N419" s="4" t="inlineStr">
        <is>
          <t>READY</t>
        </is>
      </c>
      <c r="O419" s="5" t="inlineStr"/>
      <c r="P419" s="5" t="inlineStr"/>
      <c r="Q419" s="5" t="inlineStr"/>
      <c r="R419" s="5" t="inlineStr"/>
    </row>
    <row r="420" ht="20" customHeight="1">
      <c r="A420" s="2" t="inlineStr">
        <is>
          <t>ST419</t>
        </is>
      </c>
      <c r="B420" s="3" t="inlineStr">
        <is>
          <t>How Re-Evaluation Marks Changes Impact Your Final Board Percentage</t>
        </is>
      </c>
      <c r="C420" s="2" t="inlineStr">
        <is>
          <t>Student</t>
        </is>
      </c>
      <c r="D420" s="3" t="inlineStr">
        <is>
          <t>Marks</t>
        </is>
      </c>
      <c r="E420" s="2" t="inlineStr">
        <is>
          <t>How-To</t>
        </is>
      </c>
      <c r="F420" s="2" t="inlineStr">
        <is>
          <t>How-To</t>
        </is>
      </c>
      <c r="G420" s="3" t="inlineStr">
        <is>
          <t>how re evaluation changes percentage</t>
        </is>
      </c>
      <c r="H420" s="3" t="inlineStr">
        <is>
          <t>cbse re evaluation mark change, marks increase after verification, updating marksheet percentage</t>
        </is>
      </c>
      <c r="I420" s="3" t="inlineStr">
        <is>
          <t>Marks Percentage Calculator</t>
        </is>
      </c>
      <c r="J420" s="3" t="inlineStr">
        <is>
          <t>/student/marks-percentage</t>
        </is>
      </c>
      <c r="K420" s="3" t="inlineStr">
        <is>
          <t>Guide students through recalculating aggregate percentage when re-evaluation or verification results in a 2 to 10 mark increase.</t>
        </is>
      </c>
      <c r="L420" s="2" t="inlineStr">
        <is>
          <t>YES</t>
        </is>
      </c>
      <c r="M420" s="2" t="inlineStr">
        <is>
          <t>MEDIUM</t>
        </is>
      </c>
      <c r="N420" s="2" t="inlineStr">
        <is>
          <t>READY</t>
        </is>
      </c>
      <c r="O420" s="3" t="inlineStr"/>
      <c r="P420" s="3" t="inlineStr"/>
      <c r="Q420" s="3" t="inlineStr"/>
      <c r="R420" s="3" t="inlineStr"/>
    </row>
    <row r="421" ht="20" customHeight="1">
      <c r="A421" s="4" t="inlineStr">
        <is>
          <t>ST420</t>
        </is>
      </c>
      <c r="B421" s="5" t="inlineStr">
        <is>
          <t>Difference Between Gross Marks Percentage and Net Percentage After Deductions</t>
        </is>
      </c>
      <c r="C421" s="4" t="inlineStr">
        <is>
          <t>Student</t>
        </is>
      </c>
      <c r="D421" s="5" t="inlineStr">
        <is>
          <t>Marks</t>
        </is>
      </c>
      <c r="E421" s="4" t="inlineStr">
        <is>
          <t>Comparison</t>
        </is>
      </c>
      <c r="F421" s="4" t="inlineStr">
        <is>
          <t>Educational</t>
        </is>
      </c>
      <c r="G421" s="5" t="inlineStr">
        <is>
          <t>gross marks vs net marks percentage</t>
        </is>
      </c>
      <c r="H421" s="5" t="inlineStr">
        <is>
          <t>negative marking deduction percentage, gross percentage in tests, net score percentage</t>
        </is>
      </c>
      <c r="I421" s="5" t="inlineStr">
        <is>
          <t>Marks Percentage Calculator</t>
        </is>
      </c>
      <c r="J421" s="5" t="inlineStr">
        <is>
          <t>/student/marks-percentage</t>
        </is>
      </c>
      <c r="K421" s="5" t="inlineStr">
        <is>
          <t>Show clear distinction between Gross Marks % (Total Correct * 4 / Max * 100) and Net Marks % ((Correct * 4 - Wrong * 1) / Max * 100).</t>
        </is>
      </c>
      <c r="L421" s="4" t="inlineStr">
        <is>
          <t>YES</t>
        </is>
      </c>
      <c r="M421" s="4" t="inlineStr">
        <is>
          <t>HIGH</t>
        </is>
      </c>
      <c r="N421" s="4" t="inlineStr">
        <is>
          <t>READY</t>
        </is>
      </c>
      <c r="O421" s="5" t="inlineStr"/>
      <c r="P421" s="5" t="inlineStr"/>
      <c r="Q421" s="5" t="inlineStr"/>
      <c r="R421" s="5" t="inlineStr"/>
    </row>
    <row r="422" ht="20" customHeight="1">
      <c r="A422" s="2" t="inlineStr">
        <is>
          <t>ST421</t>
        </is>
      </c>
      <c r="B422" s="3" t="inlineStr">
        <is>
          <t>How to Calculate Overall Percentage for Master's Degree (M.Tech, M.Sc, M.Com, MA)</t>
        </is>
      </c>
      <c r="C422" s="2" t="inlineStr">
        <is>
          <t>Student</t>
        </is>
      </c>
      <c r="D422" s="3" t="inlineStr">
        <is>
          <t>Marks</t>
        </is>
      </c>
      <c r="E422" s="2" t="inlineStr">
        <is>
          <t>How-To</t>
        </is>
      </c>
      <c r="F422" s="2" t="inlineStr">
        <is>
          <t>How-To</t>
        </is>
      </c>
      <c r="G422" s="3" t="inlineStr">
        <is>
          <t>how to calculate masters degree percentage</t>
        </is>
      </c>
      <c r="H422" s="3" t="inlineStr">
        <is>
          <t>postgraduate marks percentage, mtech cgpa to percentage, ma msc aggregate percentage</t>
        </is>
      </c>
      <c r="I422" s="3" t="inlineStr">
        <is>
          <t>Marks Percentage Calculator</t>
        </is>
      </c>
      <c r="J422" s="3" t="inlineStr">
        <is>
          <t>/student/marks-percentage</t>
        </is>
      </c>
      <c r="K422" s="3" t="inlineStr">
        <is>
          <t>Explain postgraduate marks aggregation across 4 semesters, including thesis/dissertation credit weighting and viva-voce evaluations.</t>
        </is>
      </c>
      <c r="L422" s="2" t="inlineStr">
        <is>
          <t>YES</t>
        </is>
      </c>
      <c r="M422" s="2" t="inlineStr">
        <is>
          <t>MEDIUM</t>
        </is>
      </c>
      <c r="N422" s="2" t="inlineStr">
        <is>
          <t>READY</t>
        </is>
      </c>
      <c r="O422" s="3" t="inlineStr"/>
      <c r="P422" s="3" t="inlineStr"/>
      <c r="Q422" s="3" t="inlineStr"/>
      <c r="R422" s="3" t="inlineStr"/>
    </row>
    <row r="423" ht="20" customHeight="1">
      <c r="A423" s="4" t="inlineStr">
        <is>
          <t>ST422</t>
        </is>
      </c>
      <c r="B423" s="5" t="inlineStr">
        <is>
          <t>What Is the Minimum Percentage Required for First Division with Distinction in CBSE?</t>
        </is>
      </c>
      <c r="C423" s="4" t="inlineStr">
        <is>
          <t>Student</t>
        </is>
      </c>
      <c r="D423" s="5" t="inlineStr">
        <is>
          <t>Marks</t>
        </is>
      </c>
      <c r="E423" s="4" t="inlineStr">
        <is>
          <t>Guide</t>
        </is>
      </c>
      <c r="F423" s="4" t="inlineStr">
        <is>
          <t>Reference</t>
        </is>
      </c>
      <c r="G423" s="5" t="inlineStr">
        <is>
          <t>cbse merit certificate percentage threshold</t>
        </is>
      </c>
      <c r="H423" s="5" t="inlineStr">
        <is>
          <t>cbse top 0.1 percent merit certificate, distinction in cbse class 10 12, cbse division rules</t>
        </is>
      </c>
      <c r="I423" s="5" t="inlineStr">
        <is>
          <t>Marks Percentage Calculator</t>
        </is>
      </c>
      <c r="J423" s="5" t="inlineStr">
        <is>
          <t>/student/marks-percentage</t>
        </is>
      </c>
      <c r="K423" s="5" t="inlineStr">
        <is>
          <t>Explain CBSE's policy: CBSE does not award divisions or distinctions on marksheets, but awards 0.1% Merit Certificates in each individual subject.</t>
        </is>
      </c>
      <c r="L423" s="4" t="inlineStr">
        <is>
          <t>YES</t>
        </is>
      </c>
      <c r="M423" s="4" t="inlineStr">
        <is>
          <t>HIGH</t>
        </is>
      </c>
      <c r="N423" s="4" t="inlineStr">
        <is>
          <t>READY</t>
        </is>
      </c>
      <c r="O423" s="5" t="inlineStr"/>
      <c r="P423" s="5" t="inlineStr"/>
      <c r="Q423" s="5" t="inlineStr"/>
      <c r="R423" s="5" t="inlineStr"/>
    </row>
    <row r="424" ht="20" customHeight="1">
      <c r="A424" s="2" t="inlineStr">
        <is>
          <t>ST423</t>
        </is>
      </c>
      <c r="B424" s="3" t="inlineStr">
        <is>
          <t>How to Calculate Board Percentage If You Are an NRI or Foreign Board Student</t>
        </is>
      </c>
      <c r="C424" s="2" t="inlineStr">
        <is>
          <t>Student</t>
        </is>
      </c>
      <c r="D424" s="3" t="inlineStr">
        <is>
          <t>Marks</t>
        </is>
      </c>
      <c r="E424" s="2" t="inlineStr">
        <is>
          <t>Guide</t>
        </is>
      </c>
      <c r="F424" s="2" t="inlineStr">
        <is>
          <t>How-To</t>
        </is>
      </c>
      <c r="G424" s="3" t="inlineStr">
        <is>
          <t>aiu equivalence percentage for foreign boards</t>
        </is>
      </c>
      <c r="H424" s="3" t="inlineStr">
        <is>
          <t>association of indian universities marks conversion, igcse a levels percentage conversion, ib diploma percentage</t>
        </is>
      </c>
      <c r="I424" s="3" t="inlineStr">
        <is>
          <t>Marks Percentage Calculator</t>
        </is>
      </c>
      <c r="J424" s="3" t="inlineStr">
        <is>
          <t>/student/marks-percentage</t>
        </is>
      </c>
      <c r="K424" s="3" t="inlineStr">
        <is>
          <t>Explain AIU (Association of Indian Universities) guidelines for converting Cambridge IGCSE/A-Levels and IB Diploma points into percentage for Indian admissions.</t>
        </is>
      </c>
      <c r="L424" s="2" t="inlineStr">
        <is>
          <t>YES</t>
        </is>
      </c>
      <c r="M424" s="2" t="inlineStr">
        <is>
          <t>HIGH</t>
        </is>
      </c>
      <c r="N424" s="2" t="inlineStr">
        <is>
          <t>READY</t>
        </is>
      </c>
      <c r="O424" s="3" t="inlineStr"/>
      <c r="P424" s="3" t="inlineStr"/>
      <c r="Q424" s="3" t="inlineStr"/>
      <c r="R424" s="3" t="inlineStr"/>
    </row>
    <row r="425" ht="20" customHeight="1">
      <c r="A425" s="4" t="inlineStr">
        <is>
          <t>ST424</t>
        </is>
      </c>
      <c r="B425" s="5" t="inlineStr">
        <is>
          <t>Step-by-Step Guide to Calculating Percentage from Multiple Semester Grade Cards</t>
        </is>
      </c>
      <c r="C425" s="4" t="inlineStr">
        <is>
          <t>Student</t>
        </is>
      </c>
      <c r="D425" s="5" t="inlineStr">
        <is>
          <t>Marks</t>
        </is>
      </c>
      <c r="E425" s="4" t="inlineStr">
        <is>
          <t>How-To</t>
        </is>
      </c>
      <c r="F425" s="4" t="inlineStr">
        <is>
          <t>How-To</t>
        </is>
      </c>
      <c r="G425" s="5" t="inlineStr">
        <is>
          <t>how to calculate percentage from all semester marksheets</t>
        </is>
      </c>
      <c r="H425" s="5" t="inlineStr">
        <is>
          <t>adding all semester marks, degree marksheet calculation, total percentage degree certificate</t>
        </is>
      </c>
      <c r="I425" s="5" t="inlineStr">
        <is>
          <t>Marks Percentage Calculator</t>
        </is>
      </c>
      <c r="J425" s="5" t="inlineStr">
        <is>
          <t>/student/marks-percentage</t>
        </is>
      </c>
      <c r="K425" s="5" t="inlineStr">
        <is>
          <t>Clear template: extract total scored and total max marks from semester 1 to semester 8, sum both columns, and compute exact aggregate percentage.</t>
        </is>
      </c>
      <c r="L425" s="4" t="inlineStr">
        <is>
          <t>YES</t>
        </is>
      </c>
      <c r="M425" s="4" t="inlineStr">
        <is>
          <t>HIGH</t>
        </is>
      </c>
      <c r="N425" s="4" t="inlineStr">
        <is>
          <t>READY</t>
        </is>
      </c>
      <c r="O425" s="5" t="inlineStr"/>
      <c r="P425" s="5" t="inlineStr"/>
      <c r="Q425" s="5" t="inlineStr"/>
      <c r="R425" s="5" t="inlineStr"/>
    </row>
    <row r="426" ht="20" customHeight="1">
      <c r="A426" s="2" t="inlineStr">
        <is>
          <t>ST425</t>
        </is>
      </c>
      <c r="B426" s="3" t="inlineStr">
        <is>
          <t>Why Do Some Universities Use Non-Linear Conversion from Marks to Grades?</t>
        </is>
      </c>
      <c r="C426" s="2" t="inlineStr">
        <is>
          <t>Student</t>
        </is>
      </c>
      <c r="D426" s="3" t="inlineStr">
        <is>
          <t>Marks</t>
        </is>
      </c>
      <c r="E426" s="2" t="inlineStr">
        <is>
          <t>Explanation</t>
        </is>
      </c>
      <c r="F426" s="2" t="inlineStr">
        <is>
          <t>Educational</t>
        </is>
      </c>
      <c r="G426" s="3" t="inlineStr">
        <is>
          <t>why marks to grades is non linear</t>
        </is>
      </c>
      <c r="H426" s="3" t="inlineStr">
        <is>
          <t>bell curve grading university, relative grade cutoffs, standard deviation grading</t>
        </is>
      </c>
      <c r="I426" s="3" t="inlineStr">
        <is>
          <t>Marks Percentage Calculator</t>
        </is>
      </c>
      <c r="J426" s="3" t="inlineStr">
        <is>
          <t>/student/marks-percentage</t>
        </is>
      </c>
      <c r="K426" s="3" t="inlineStr">
        <is>
          <t>Explain statistical curve fitting: why an 82% might receive an 'O' (Outstanding) in a tough year, but only an 'A' in an easy paper year.</t>
        </is>
      </c>
      <c r="L426" s="2" t="inlineStr">
        <is>
          <t>YES</t>
        </is>
      </c>
      <c r="M426" s="2" t="inlineStr">
        <is>
          <t>MEDIUM</t>
        </is>
      </c>
      <c r="N426" s="2" t="inlineStr">
        <is>
          <t>READY</t>
        </is>
      </c>
      <c r="O426" s="3" t="inlineStr"/>
      <c r="P426" s="3" t="inlineStr"/>
      <c r="Q426" s="3" t="inlineStr"/>
      <c r="R426" s="3" t="inlineStr"/>
    </row>
    <row r="427" ht="20" customHeight="1">
      <c r="A427" s="4" t="inlineStr">
        <is>
          <t>ST426</t>
        </is>
      </c>
      <c r="B427" s="5" t="inlineStr">
        <is>
          <t>How to Calculate Semester GPA (SGPA): The Complete Credit-Weighted Formula Guide</t>
        </is>
      </c>
      <c r="C427" s="4" t="inlineStr">
        <is>
          <t>Student</t>
        </is>
      </c>
      <c r="D427" s="5" t="inlineStr">
        <is>
          <t>GPA</t>
        </is>
      </c>
      <c r="E427" s="4" t="inlineStr">
        <is>
          <t>Formula Guide</t>
        </is>
      </c>
      <c r="F427" s="4" t="inlineStr">
        <is>
          <t>How-To</t>
        </is>
      </c>
      <c r="G427" s="5" t="inlineStr">
        <is>
          <t>how to calculate sgpa</t>
        </is>
      </c>
      <c r="H427" s="5" t="inlineStr">
        <is>
          <t>sgpa formula, semester gpa calculation, calculate sgpa from marks, credit point calculation</t>
        </is>
      </c>
      <c r="I427" s="5" t="inlineStr">
        <is>
          <t>GPA Calculator</t>
        </is>
      </c>
      <c r="J427" s="5" t="inlineStr">
        <is>
          <t>/student/gpa-calculator</t>
        </is>
      </c>
      <c r="K427" s="5" t="inlineStr">
        <is>
          <t>Break down the universal formula: SGPA = Sum(Course Credits * Grade Points) / Sum(Course Credits). Walk through a 6-subject semester scenario.</t>
        </is>
      </c>
      <c r="L427" s="4" t="inlineStr">
        <is>
          <t>YES</t>
        </is>
      </c>
      <c r="M427" s="4" t="inlineStr">
        <is>
          <t>HIGH</t>
        </is>
      </c>
      <c r="N427" s="4" t="inlineStr">
        <is>
          <t>READY</t>
        </is>
      </c>
      <c r="O427" s="5" t="inlineStr"/>
      <c r="P427" s="5" t="inlineStr"/>
      <c r="Q427" s="5" t="inlineStr"/>
      <c r="R427" s="5" t="inlineStr"/>
    </row>
    <row r="428" ht="20" customHeight="1">
      <c r="A428" s="2" t="inlineStr">
        <is>
          <t>ST427</t>
        </is>
      </c>
      <c r="B428" s="3" t="inlineStr">
        <is>
          <t>How to Calculate Cumulative GPA (CGPA) from Individual Semester SGPAs</t>
        </is>
      </c>
      <c r="C428" s="2" t="inlineStr">
        <is>
          <t>Student</t>
        </is>
      </c>
      <c r="D428" s="3" t="inlineStr">
        <is>
          <t>GPA</t>
        </is>
      </c>
      <c r="E428" s="2" t="inlineStr">
        <is>
          <t>Formula Guide</t>
        </is>
      </c>
      <c r="F428" s="2" t="inlineStr">
        <is>
          <t>How-To</t>
        </is>
      </c>
      <c r="G428" s="3" t="inlineStr">
        <is>
          <t>how to calculate cgpa from sgpa</t>
        </is>
      </c>
      <c r="H428" s="3" t="inlineStr">
        <is>
          <t>cgpa formula from semester gpa, weighted average of sgpa, calculating cumulative gpa</t>
        </is>
      </c>
      <c r="I428" s="3" t="inlineStr">
        <is>
          <t>GPA Calculator</t>
        </is>
      </c>
      <c r="J428" s="3" t="inlineStr">
        <is>
          <t>/student/gpa-calculator</t>
        </is>
      </c>
      <c r="K428" s="3" t="inlineStr">
        <is>
          <t>Demonstrate why simply adding SGPAs and dividing by the number of semesters is only valid if each semester has identical total credits; otherwise, weight by credits.</t>
        </is>
      </c>
      <c r="L428" s="2" t="inlineStr">
        <is>
          <t>YES</t>
        </is>
      </c>
      <c r="M428" s="2" t="inlineStr">
        <is>
          <t>HIGH</t>
        </is>
      </c>
      <c r="N428" s="2" t="inlineStr">
        <is>
          <t>READY</t>
        </is>
      </c>
      <c r="O428" s="3" t="inlineStr"/>
      <c r="P428" s="3" t="inlineStr"/>
      <c r="Q428" s="3" t="inlineStr"/>
      <c r="R428" s="3" t="inlineStr"/>
    </row>
    <row r="429" ht="20" customHeight="1">
      <c r="A429" s="4" t="inlineStr">
        <is>
          <t>ST428</t>
        </is>
      </c>
      <c r="B429" s="5" t="inlineStr">
        <is>
          <t>What Are Course Credits and Why Do They Matter in Your GPA Calculation?</t>
        </is>
      </c>
      <c r="C429" s="4" t="inlineStr">
        <is>
          <t>Student</t>
        </is>
      </c>
      <c r="D429" s="5" t="inlineStr">
        <is>
          <t>GPA</t>
        </is>
      </c>
      <c r="E429" s="4" t="inlineStr">
        <is>
          <t>Explanation</t>
        </is>
      </c>
      <c r="F429" s="4" t="inlineStr">
        <is>
          <t>Educational</t>
        </is>
      </c>
      <c r="G429" s="5" t="inlineStr">
        <is>
          <t>what are credits in college</t>
        </is>
      </c>
      <c r="H429" s="5" t="inlineStr">
        <is>
          <t>course credit hours meaning, why credits matter gpa, credit system in university</t>
        </is>
      </c>
      <c r="I429" s="5" t="inlineStr">
        <is>
          <t>GPA Calculator</t>
        </is>
      </c>
      <c r="J429" s="5" t="inlineStr">
        <is>
          <t>/student/gpa-calculator</t>
        </is>
      </c>
      <c r="K429" s="5" t="inlineStr">
        <is>
          <t>Explain credit definitions under UGC CBCS (Choice Based Credit System): 1 credit = 1 lecture hour or 2 lab hours per week. Show how 4-credit courses impact GPA twice as much as 2-credit courses.</t>
        </is>
      </c>
      <c r="L429" s="4" t="inlineStr">
        <is>
          <t>YES</t>
        </is>
      </c>
      <c r="M429" s="4" t="inlineStr">
        <is>
          <t>HIGH</t>
        </is>
      </c>
      <c r="N429" s="4" t="inlineStr">
        <is>
          <t>READY</t>
        </is>
      </c>
      <c r="O429" s="5" t="inlineStr"/>
      <c r="P429" s="5" t="inlineStr"/>
      <c r="Q429" s="5" t="inlineStr"/>
      <c r="R429" s="5" t="inlineStr"/>
    </row>
    <row r="430" ht="20" customHeight="1">
      <c r="A430" s="2" t="inlineStr">
        <is>
          <t>ST429</t>
        </is>
      </c>
      <c r="B430" s="3" t="inlineStr">
        <is>
          <t>How Letter Grades Map to Grade Points: O, A+, A, B+, B, C, P, F Explained</t>
        </is>
      </c>
      <c r="C430" s="2" t="inlineStr">
        <is>
          <t>Student</t>
        </is>
      </c>
      <c r="D430" s="3" t="inlineStr">
        <is>
          <t>GPA</t>
        </is>
      </c>
      <c r="E430" s="2" t="inlineStr">
        <is>
          <t>Guide</t>
        </is>
      </c>
      <c r="F430" s="2" t="inlineStr">
        <is>
          <t>Reference</t>
        </is>
      </c>
      <c r="G430" s="3" t="inlineStr">
        <is>
          <t>letter grade to grade point conversion</t>
        </is>
      </c>
      <c r="H430" s="3" t="inlineStr">
        <is>
          <t>ugc 10 point grading scale, grade points for o a b c, cbcs grade scale table</t>
        </is>
      </c>
      <c r="I430" s="3" t="inlineStr">
        <is>
          <t>GPA Calculator</t>
        </is>
      </c>
      <c r="J430" s="3" t="inlineStr">
        <is>
          <t>/student/gpa-calculator</t>
        </is>
      </c>
      <c r="K430" s="3" t="inlineStr">
        <is>
          <t>Provide the official UGC CBCS table: O (10), A+ (9), A (8), B+ (7), B (6), C (5), P (4), F (0). Explain passing grade points.</t>
        </is>
      </c>
      <c r="L430" s="2" t="inlineStr">
        <is>
          <t>YES</t>
        </is>
      </c>
      <c r="M430" s="2" t="inlineStr">
        <is>
          <t>HIGH</t>
        </is>
      </c>
      <c r="N430" s="2" t="inlineStr">
        <is>
          <t>READY</t>
        </is>
      </c>
      <c r="O430" s="3" t="inlineStr"/>
      <c r="P430" s="3" t="inlineStr"/>
      <c r="Q430" s="3" t="inlineStr"/>
      <c r="R430" s="3" t="inlineStr"/>
    </row>
    <row r="431" ht="20" customHeight="1">
      <c r="A431" s="4" t="inlineStr">
        <is>
          <t>ST430</t>
        </is>
      </c>
      <c r="B431" s="5" t="inlineStr">
        <is>
          <t>What Happens to Your GPA When You Get an 'F' Grade or Arrear?</t>
        </is>
      </c>
      <c r="C431" s="4" t="inlineStr">
        <is>
          <t>Student</t>
        </is>
      </c>
      <c r="D431" s="5" t="inlineStr">
        <is>
          <t>GPA</t>
        </is>
      </c>
      <c r="E431" s="4" t="inlineStr">
        <is>
          <t>Explanation</t>
        </is>
      </c>
      <c r="F431" s="4" t="inlineStr">
        <is>
          <t>Educational</t>
        </is>
      </c>
      <c r="G431" s="5" t="inlineStr">
        <is>
          <t>how backlog affects gpa</t>
        </is>
      </c>
      <c r="H431" s="5" t="inlineStr">
        <is>
          <t>f grade in sgpa calculation, arrear impact on cgpa, zero grade point course credits</t>
        </is>
      </c>
      <c r="I431" s="5" t="inlineStr">
        <is>
          <t>GPA Calculator</t>
        </is>
      </c>
      <c r="J431" s="5" t="inlineStr">
        <is>
          <t>/student/gpa-calculator</t>
        </is>
      </c>
      <c r="K431" s="5" t="inlineStr">
        <is>
          <t>Explain how an F grade contributes 0 grade points while the course credits remain in the denominator, dragging down the semester SGPA drastically.</t>
        </is>
      </c>
      <c r="L431" s="4" t="inlineStr">
        <is>
          <t>YES</t>
        </is>
      </c>
      <c r="M431" s="4" t="inlineStr">
        <is>
          <t>HIGH</t>
        </is>
      </c>
      <c r="N431" s="4" t="inlineStr">
        <is>
          <t>READY</t>
        </is>
      </c>
      <c r="O431" s="5" t="inlineStr"/>
      <c r="P431" s="5" t="inlineStr"/>
      <c r="Q431" s="5" t="inlineStr"/>
      <c r="R431" s="5" t="inlineStr"/>
    </row>
    <row r="432" ht="20" customHeight="1">
      <c r="A432" s="2" t="inlineStr">
        <is>
          <t>ST431</t>
        </is>
      </c>
      <c r="B432" s="3" t="inlineStr">
        <is>
          <t>How Arrear Clearance Updates Your GPA in Subsequent Semesters</t>
        </is>
      </c>
      <c r="C432" s="2" t="inlineStr">
        <is>
          <t>Student</t>
        </is>
      </c>
      <c r="D432" s="3" t="inlineStr">
        <is>
          <t>GPA</t>
        </is>
      </c>
      <c r="E432" s="2" t="inlineStr">
        <is>
          <t>Explanation</t>
        </is>
      </c>
      <c r="F432" s="2" t="inlineStr">
        <is>
          <t>How-To</t>
        </is>
      </c>
      <c r="G432" s="3" t="inlineStr">
        <is>
          <t>how cleared backlog changes cgpa</t>
        </is>
      </c>
      <c r="H432" s="3" t="inlineStr">
        <is>
          <t>arrear clearance gpa update, does backlog show on degree cgpa, recalculating gpa after re exam</t>
        </is>
      </c>
      <c r="I432" s="3" t="inlineStr">
        <is>
          <t>GPA Calculator</t>
        </is>
      </c>
      <c r="J432" s="3" t="inlineStr">
        <is>
          <t>/student/gpa-calculator</t>
        </is>
      </c>
      <c r="K432" s="3" t="inlineStr">
        <is>
          <t>Explain how universities replace 0 with the newly earned grade points, recalculating cumulative CGPA and issuing updated consolidated transcripts.</t>
        </is>
      </c>
      <c r="L432" s="2" t="inlineStr">
        <is>
          <t>YES</t>
        </is>
      </c>
      <c r="M432" s="2" t="inlineStr">
        <is>
          <t>HIGH</t>
        </is>
      </c>
      <c r="N432" s="2" t="inlineStr">
        <is>
          <t>READY</t>
        </is>
      </c>
      <c r="O432" s="3" t="inlineStr"/>
      <c r="P432" s="3" t="inlineStr"/>
      <c r="Q432" s="3" t="inlineStr"/>
      <c r="R432" s="3" t="inlineStr"/>
    </row>
    <row r="433" ht="20" customHeight="1">
      <c r="A433" s="4" t="inlineStr">
        <is>
          <t>ST432</t>
        </is>
      </c>
      <c r="B433" s="5" t="inlineStr">
        <is>
          <t>Understanding the Choice Based Credit System (CBCS) in Indian Universities</t>
        </is>
      </c>
      <c r="C433" s="4" t="inlineStr">
        <is>
          <t>Student</t>
        </is>
      </c>
      <c r="D433" s="5" t="inlineStr">
        <is>
          <t>GPA</t>
        </is>
      </c>
      <c r="E433" s="4" t="inlineStr">
        <is>
          <t>Guide</t>
        </is>
      </c>
      <c r="F433" s="4" t="inlineStr">
        <is>
          <t>Educational</t>
        </is>
      </c>
      <c r="G433" s="5" t="inlineStr">
        <is>
          <t>choice based credit system explained</t>
        </is>
      </c>
      <c r="H433" s="5" t="inlineStr">
        <is>
          <t>what is cbcs system, core elective open elective credits, ugc cbcs regulations</t>
        </is>
      </c>
      <c r="I433" s="5" t="inlineStr">
        <is>
          <t>GPA Calculator</t>
        </is>
      </c>
      <c r="J433" s="5" t="inlineStr">
        <is>
          <t>/student/gpa-calculator</t>
        </is>
      </c>
      <c r="K433" s="5" t="inlineStr">
        <is>
          <t>Comprehensive guide to Core Courses (CC), Discipline Specific Electives (DSE), Generic Electives (GE), and Ability Enhancement Courses (AECC).</t>
        </is>
      </c>
      <c r="L433" s="4" t="inlineStr">
        <is>
          <t>YES</t>
        </is>
      </c>
      <c r="M433" s="4" t="inlineStr">
        <is>
          <t>HIGH</t>
        </is>
      </c>
      <c r="N433" s="4" t="inlineStr">
        <is>
          <t>READY</t>
        </is>
      </c>
      <c r="O433" s="5" t="inlineStr"/>
      <c r="P433" s="5" t="inlineStr"/>
      <c r="Q433" s="5" t="inlineStr"/>
      <c r="R433" s="5" t="inlineStr"/>
    </row>
    <row r="434" ht="20" customHeight="1">
      <c r="A434" s="2" t="inlineStr">
        <is>
          <t>ST433</t>
        </is>
      </c>
      <c r="B434" s="3" t="inlineStr">
        <is>
          <t>Difference Between Unweighted GPA and Weighted GPA: A Global Perspective</t>
        </is>
      </c>
      <c r="C434" s="2" t="inlineStr">
        <is>
          <t>Student</t>
        </is>
      </c>
      <c r="D434" s="3" t="inlineStr">
        <is>
          <t>GPA</t>
        </is>
      </c>
      <c r="E434" s="2" t="inlineStr">
        <is>
          <t>Comparison</t>
        </is>
      </c>
      <c r="F434" s="2" t="inlineStr">
        <is>
          <t>Educational</t>
        </is>
      </c>
      <c r="G434" s="3" t="inlineStr">
        <is>
          <t>weighted vs unweighted gpa</t>
        </is>
      </c>
      <c r="H434" s="3" t="inlineStr">
        <is>
          <t>difference between weighted and unweighted gpa, credit weighted gpa, us gpa scale</t>
        </is>
      </c>
      <c r="I434" s="3" t="inlineStr">
        <is>
          <t>GPA Calculator</t>
        </is>
      </c>
      <c r="J434" s="3" t="inlineStr">
        <is>
          <t>/student/gpa-calculator</t>
        </is>
      </c>
      <c r="K434" s="3" t="inlineStr">
        <is>
          <t>Compare unweighted scales (treating all classes equally on a 4.0 scale) with credit-weighted scales used across Indian universities and US AP/Honors systems.</t>
        </is>
      </c>
      <c r="L434" s="2" t="inlineStr">
        <is>
          <t>YES</t>
        </is>
      </c>
      <c r="M434" s="2" t="inlineStr">
        <is>
          <t>HIGH</t>
        </is>
      </c>
      <c r="N434" s="2" t="inlineStr">
        <is>
          <t>READY</t>
        </is>
      </c>
      <c r="O434" s="3" t="inlineStr"/>
      <c r="P434" s="3" t="inlineStr"/>
      <c r="Q434" s="3" t="inlineStr"/>
      <c r="R434" s="3" t="inlineStr"/>
    </row>
    <row r="435" ht="20" customHeight="1">
      <c r="A435" s="4" t="inlineStr">
        <is>
          <t>ST434</t>
        </is>
      </c>
      <c r="B435" s="5" t="inlineStr">
        <is>
          <t>How to Raise Your CGPA by 0.5 Points in the Final Two Semesters</t>
        </is>
      </c>
      <c r="C435" s="4" t="inlineStr">
        <is>
          <t>Student</t>
        </is>
      </c>
      <c r="D435" s="5" t="inlineStr">
        <is>
          <t>GPA</t>
        </is>
      </c>
      <c r="E435" s="4" t="inlineStr">
        <is>
          <t>Planning Guide</t>
        </is>
      </c>
      <c r="F435" s="4" t="inlineStr">
        <is>
          <t>Planning</t>
        </is>
      </c>
      <c r="G435" s="5" t="inlineStr">
        <is>
          <t>how to increase cgpa in last year</t>
        </is>
      </c>
      <c r="H435" s="5" t="inlineStr">
        <is>
          <t>raising cgpa in final year, how many points can cgpa increase, improving low cgpa</t>
        </is>
      </c>
      <c r="I435" s="5" t="inlineStr">
        <is>
          <t>GPA Calculator</t>
        </is>
      </c>
      <c r="J435" s="5" t="inlineStr">
        <is>
          <t>/student/gpa-calculator</t>
        </is>
      </c>
      <c r="K435" s="5" t="inlineStr">
        <is>
          <t>Perform mathematical simulation: calculate maximum achievable CGPA given existing 6 semesters of credits, showing the realistic ceiling of improvement.</t>
        </is>
      </c>
      <c r="L435" s="4" t="inlineStr">
        <is>
          <t>YES</t>
        </is>
      </c>
      <c r="M435" s="4" t="inlineStr">
        <is>
          <t>HIGH</t>
        </is>
      </c>
      <c r="N435" s="4" t="inlineStr">
        <is>
          <t>READY</t>
        </is>
      </c>
      <c r="O435" s="5" t="inlineStr"/>
      <c r="P435" s="5" t="inlineStr"/>
      <c r="Q435" s="5" t="inlineStr"/>
      <c r="R435" s="5" t="inlineStr"/>
    </row>
    <row r="436" ht="20" customHeight="1">
      <c r="A436" s="2" t="inlineStr">
        <is>
          <t>ST435</t>
        </is>
      </c>
      <c r="B436" s="3" t="inlineStr">
        <is>
          <t>How Many Credits Do You Need to Graduate in a 4-Year B.Tech Program?</t>
        </is>
      </c>
      <c r="C436" s="2" t="inlineStr">
        <is>
          <t>Student</t>
        </is>
      </c>
      <c r="D436" s="3" t="inlineStr">
        <is>
          <t>GPA</t>
        </is>
      </c>
      <c r="E436" s="2" t="inlineStr">
        <is>
          <t>Guide</t>
        </is>
      </c>
      <c r="F436" s="2" t="inlineStr">
        <is>
          <t>Reference</t>
        </is>
      </c>
      <c r="G436" s="3" t="inlineStr">
        <is>
          <t>total credits required for btech graduation</t>
        </is>
      </c>
      <c r="H436" s="3" t="inlineStr">
        <is>
          <t>aicte minimum credits for engineering, btech credit requirement, honors degree additional credits</t>
        </is>
      </c>
      <c r="I436" s="3" t="inlineStr">
        <is>
          <t>GPA Calculator</t>
        </is>
      </c>
      <c r="J436" s="3" t="inlineStr">
        <is>
          <t>/student/gpa-calculator</t>
        </is>
      </c>
      <c r="K436" s="3" t="inlineStr">
        <is>
          <t>Detail AICTE framework: minimum 160 credits for standard B.Tech, plus 18-20 additional credits for B.Tech with Minor or Honors degree.</t>
        </is>
      </c>
      <c r="L436" s="2" t="inlineStr">
        <is>
          <t>YES</t>
        </is>
      </c>
      <c r="M436" s="2" t="inlineStr">
        <is>
          <t>HIGH</t>
        </is>
      </c>
      <c r="N436" s="2" t="inlineStr">
        <is>
          <t>READY</t>
        </is>
      </c>
      <c r="O436" s="3" t="inlineStr"/>
      <c r="P436" s="3" t="inlineStr"/>
      <c r="Q436" s="3" t="inlineStr"/>
      <c r="R436" s="3" t="inlineStr"/>
    </row>
    <row r="437" ht="20" customHeight="1">
      <c r="A437" s="4" t="inlineStr">
        <is>
          <t>ST436</t>
        </is>
      </c>
      <c r="B437" s="5" t="inlineStr">
        <is>
          <t>What Is a Good SGPA in the First Semester of College?</t>
        </is>
      </c>
      <c r="C437" s="4" t="inlineStr">
        <is>
          <t>Student</t>
        </is>
      </c>
      <c r="D437" s="5" t="inlineStr">
        <is>
          <t>GPA</t>
        </is>
      </c>
      <c r="E437" s="4" t="inlineStr">
        <is>
          <t>Guide</t>
        </is>
      </c>
      <c r="F437" s="4" t="inlineStr">
        <is>
          <t>Informational</t>
        </is>
      </c>
      <c r="G437" s="5" t="inlineStr">
        <is>
          <t>what is a good sgpa in first semester</t>
        </is>
      </c>
      <c r="H437" s="5" t="inlineStr">
        <is>
          <t>first semester sgpa benchmark, is 7 sgpa good in first year, average first year college gpa</t>
        </is>
      </c>
      <c r="I437" s="5" t="inlineStr">
        <is>
          <t>GPA Calculator</t>
        </is>
      </c>
      <c r="J437" s="5" t="inlineStr">
        <is>
          <t>/student/gpa-calculator</t>
        </is>
      </c>
      <c r="K437" s="5" t="inlineStr">
        <is>
          <t>Analyze first-year academic transitions, explaining why an 8.0+ SGPA provides a resilient foundation that protects against tougher core department courses.</t>
        </is>
      </c>
      <c r="L437" s="4" t="inlineStr">
        <is>
          <t>YES</t>
        </is>
      </c>
      <c r="M437" s="4" t="inlineStr">
        <is>
          <t>MEDIUM</t>
        </is>
      </c>
      <c r="N437" s="4" t="inlineStr">
        <is>
          <t>READY</t>
        </is>
      </c>
      <c r="O437" s="5" t="inlineStr"/>
      <c r="P437" s="5" t="inlineStr"/>
      <c r="Q437" s="5" t="inlineStr"/>
      <c r="R437" s="5" t="inlineStr"/>
    </row>
    <row r="438" ht="20" customHeight="1">
      <c r="A438" s="2" t="inlineStr">
        <is>
          <t>ST437</t>
        </is>
      </c>
      <c r="B438" s="3" t="inlineStr">
        <is>
          <t>How to Calculate Major GPA vs Overall GPA for Higher Studies Applications</t>
        </is>
      </c>
      <c r="C438" s="2" t="inlineStr">
        <is>
          <t>Student</t>
        </is>
      </c>
      <c r="D438" s="3" t="inlineStr">
        <is>
          <t>GPA</t>
        </is>
      </c>
      <c r="E438" s="2" t="inlineStr">
        <is>
          <t>How-To</t>
        </is>
      </c>
      <c r="F438" s="2" t="inlineStr">
        <is>
          <t>How-To</t>
        </is>
      </c>
      <c r="G438" s="3" t="inlineStr">
        <is>
          <t>how to calculate major gpa</t>
        </is>
      </c>
      <c r="H438" s="3" t="inlineStr">
        <is>
          <t>major gpa vs cumulative gpa, calculating gpa in core subjects, resume major gpa</t>
        </is>
      </c>
      <c r="I438" s="3" t="inlineStr">
        <is>
          <t>GPA Calculator</t>
        </is>
      </c>
      <c r="J438" s="3" t="inlineStr">
        <is>
          <t>/student/gpa-calculator</t>
        </is>
      </c>
      <c r="K438" s="3" t="inlineStr">
        <is>
          <t>Guide students on isolating department-specific core courses from non-core foundation humanities courses to report Major GPA on graduate school resumes.</t>
        </is>
      </c>
      <c r="L438" s="2" t="inlineStr">
        <is>
          <t>YES</t>
        </is>
      </c>
      <c r="M438" s="2" t="inlineStr">
        <is>
          <t>HIGH</t>
        </is>
      </c>
      <c r="N438" s="2" t="inlineStr">
        <is>
          <t>READY</t>
        </is>
      </c>
      <c r="O438" s="3" t="inlineStr"/>
      <c r="P438" s="3" t="inlineStr"/>
      <c r="Q438" s="3" t="inlineStr"/>
      <c r="R438" s="3" t="inlineStr"/>
    </row>
    <row r="439" ht="20" customHeight="1">
      <c r="A439" s="4" t="inlineStr">
        <is>
          <t>ST438</t>
        </is>
      </c>
      <c r="B439" s="5" t="inlineStr">
        <is>
          <t>How Pass/Fail and Audit Courses Affect Your Semester GPA</t>
        </is>
      </c>
      <c r="C439" s="4" t="inlineStr">
        <is>
          <t>Student</t>
        </is>
      </c>
      <c r="D439" s="5" t="inlineStr">
        <is>
          <t>GPA</t>
        </is>
      </c>
      <c r="E439" s="4" t="inlineStr">
        <is>
          <t>Explanation</t>
        </is>
      </c>
      <c r="F439" s="4" t="inlineStr">
        <is>
          <t>Educational</t>
        </is>
      </c>
      <c r="G439" s="5" t="inlineStr">
        <is>
          <t>do audit courses affect gpa</t>
        </is>
      </c>
      <c r="H439" s="5" t="inlineStr">
        <is>
          <t>pass fail grade impact on gpa, satisfactory unsatisfactory grading, zero credit courses</t>
        </is>
      </c>
      <c r="I439" s="5" t="inlineStr">
        <is>
          <t>GPA Calculator</t>
        </is>
      </c>
      <c r="J439" s="5" t="inlineStr">
        <is>
          <t>/student/gpa-calculator</t>
        </is>
      </c>
      <c r="K439" s="5" t="inlineStr">
        <is>
          <t>Explain why Audit and Pass/Fail (S/U) courses carry zero grade points and are excluded from the GPA credit denominator.</t>
        </is>
      </c>
      <c r="L439" s="4" t="inlineStr">
        <is>
          <t>YES</t>
        </is>
      </c>
      <c r="M439" s="4" t="inlineStr">
        <is>
          <t>MEDIUM</t>
        </is>
      </c>
      <c r="N439" s="4" t="inlineStr">
        <is>
          <t>READY</t>
        </is>
      </c>
      <c r="O439" s="5" t="inlineStr"/>
      <c r="P439" s="5" t="inlineStr"/>
      <c r="Q439" s="5" t="inlineStr"/>
      <c r="R439" s="5" t="inlineStr"/>
    </row>
    <row r="440" ht="20" customHeight="1">
      <c r="A440" s="2" t="inlineStr">
        <is>
          <t>ST439</t>
        </is>
      </c>
      <c r="B440" s="3" t="inlineStr">
        <is>
          <t>Grade Replacement vs Grade Averaging: How Re-Attempting Courses Affects GPA</t>
        </is>
      </c>
      <c r="C440" s="2" t="inlineStr">
        <is>
          <t>Student</t>
        </is>
      </c>
      <c r="D440" s="3" t="inlineStr">
        <is>
          <t>GPA</t>
        </is>
      </c>
      <c r="E440" s="2" t="inlineStr">
        <is>
          <t>Comparison</t>
        </is>
      </c>
      <c r="F440" s="2" t="inlineStr">
        <is>
          <t>Educational</t>
        </is>
      </c>
      <c r="G440" s="3" t="inlineStr">
        <is>
          <t>grade replacement vs grade averaging</t>
        </is>
      </c>
      <c r="H440" s="3" t="inlineStr">
        <is>
          <t>repeating a course gpa calculation, retaking subject for grade improvement, university retake policy</t>
        </is>
      </c>
      <c r="I440" s="3" t="inlineStr">
        <is>
          <t>GPA Calculator</t>
        </is>
      </c>
      <c r="J440" s="3" t="inlineStr">
        <is>
          <t>/student/gpa-calculator</t>
        </is>
      </c>
      <c r="K440" s="3" t="inlineStr">
        <is>
          <t>Contrast universities that overwrite the previous grade completely with those that average both attempts on official transcripts.</t>
        </is>
      </c>
      <c r="L440" s="2" t="inlineStr">
        <is>
          <t>YES</t>
        </is>
      </c>
      <c r="M440" s="2" t="inlineStr">
        <is>
          <t>MEDIUM</t>
        </is>
      </c>
      <c r="N440" s="2" t="inlineStr">
        <is>
          <t>READY</t>
        </is>
      </c>
      <c r="O440" s="3" t="inlineStr"/>
      <c r="P440" s="3" t="inlineStr"/>
      <c r="Q440" s="3" t="inlineStr"/>
      <c r="R440" s="3" t="inlineStr"/>
    </row>
    <row r="441" ht="20" customHeight="1">
      <c r="A441" s="4" t="inlineStr">
        <is>
          <t>ST440</t>
        </is>
      </c>
      <c r="B441" s="5" t="inlineStr">
        <is>
          <t>How to Convert a 4.0 US Scale GPA to an Indian 10-Point CGPA</t>
        </is>
      </c>
      <c r="C441" s="4" t="inlineStr">
        <is>
          <t>Student</t>
        </is>
      </c>
      <c r="D441" s="5" t="inlineStr">
        <is>
          <t>GPA</t>
        </is>
      </c>
      <c r="E441" s="4" t="inlineStr">
        <is>
          <t>Formula Guide</t>
        </is>
      </c>
      <c r="F441" s="4" t="inlineStr">
        <is>
          <t>How-To</t>
        </is>
      </c>
      <c r="G441" s="5" t="inlineStr">
        <is>
          <t>convert 4 point gpa to 10 point cgpa</t>
        </is>
      </c>
      <c r="H441" s="5" t="inlineStr">
        <is>
          <t>4 gpa to 10 scale conversion, us gpa to indian percentage, study in india equivalence</t>
        </is>
      </c>
      <c r="I441" s="5" t="inlineStr">
        <is>
          <t>GPA Calculator</t>
        </is>
      </c>
      <c r="J441" s="5" t="inlineStr">
        <is>
          <t>/student/gpa-calculator</t>
        </is>
      </c>
      <c r="K441" s="5" t="inlineStr">
        <is>
          <t>Explain standard mathematical mapping frameworks used by AIU and Indian universities when admitting returnee international students.</t>
        </is>
      </c>
      <c r="L441" s="4" t="inlineStr">
        <is>
          <t>YES</t>
        </is>
      </c>
      <c r="M441" s="4" t="inlineStr">
        <is>
          <t>MEDIUM</t>
        </is>
      </c>
      <c r="N441" s="4" t="inlineStr">
        <is>
          <t>READY</t>
        </is>
      </c>
      <c r="O441" s="5" t="inlineStr"/>
      <c r="P441" s="5" t="inlineStr"/>
      <c r="Q441" s="5" t="inlineStr"/>
      <c r="R441" s="5" t="inlineStr"/>
    </row>
    <row r="442" ht="20" customHeight="1">
      <c r="A442" s="2" t="inlineStr">
        <is>
          <t>ST441</t>
        </is>
      </c>
      <c r="B442" s="3" t="inlineStr">
        <is>
          <t>How to Calculate Total Quality Points in a University Credit System</t>
        </is>
      </c>
      <c r="C442" s="2" t="inlineStr">
        <is>
          <t>Student</t>
        </is>
      </c>
      <c r="D442" s="3" t="inlineStr">
        <is>
          <t>GPA</t>
        </is>
      </c>
      <c r="E442" s="2" t="inlineStr">
        <is>
          <t>Formula Guide</t>
        </is>
      </c>
      <c r="F442" s="2" t="inlineStr">
        <is>
          <t>Educational</t>
        </is>
      </c>
      <c r="G442" s="3" t="inlineStr">
        <is>
          <t>how to calculate quality points college</t>
        </is>
      </c>
      <c r="H442" s="3" t="inlineStr">
        <is>
          <t>quality points formula, credit hours times grade point, quality point average</t>
        </is>
      </c>
      <c r="I442" s="3" t="inlineStr">
        <is>
          <t>GPA Calculator</t>
        </is>
      </c>
      <c r="J442" s="3" t="inlineStr">
        <is>
          <t>/student/gpa-calculator</t>
        </is>
      </c>
      <c r="K442" s="3" t="inlineStr">
        <is>
          <t>Define Quality Points = Credit Hours * Grade Point. Show how total quality points divided by total credit hours yields exact GPA.</t>
        </is>
      </c>
      <c r="L442" s="2" t="inlineStr">
        <is>
          <t>YES</t>
        </is>
      </c>
      <c r="M442" s="2" t="inlineStr">
        <is>
          <t>HIGH</t>
        </is>
      </c>
      <c r="N442" s="2" t="inlineStr">
        <is>
          <t>READY</t>
        </is>
      </c>
      <c r="O442" s="3" t="inlineStr"/>
      <c r="P442" s="3" t="inlineStr"/>
      <c r="Q442" s="3" t="inlineStr"/>
      <c r="R442" s="3" t="inlineStr"/>
    </row>
    <row r="443" ht="20" customHeight="1">
      <c r="A443" s="4" t="inlineStr">
        <is>
          <t>ST442</t>
        </is>
      </c>
      <c r="B443" s="5" t="inlineStr">
        <is>
          <t>Understanding the Impact of 1-Credit Lab Courses on Semester SGPA</t>
        </is>
      </c>
      <c r="C443" s="4" t="inlineStr">
        <is>
          <t>Student</t>
        </is>
      </c>
      <c r="D443" s="5" t="inlineStr">
        <is>
          <t>GPA</t>
        </is>
      </c>
      <c r="E443" s="4" t="inlineStr">
        <is>
          <t>Explanation</t>
        </is>
      </c>
      <c r="F443" s="4" t="inlineStr">
        <is>
          <t>Educational</t>
        </is>
      </c>
      <c r="G443" s="5" t="inlineStr">
        <is>
          <t>impact of 1 credit lab on sgpa</t>
        </is>
      </c>
      <c r="H443" s="5" t="inlineStr">
        <is>
          <t>how lab grades affect gpa, practical course credit weight, boosting sgpa with labs</t>
        </is>
      </c>
      <c r="I443" s="5" t="inlineStr">
        <is>
          <t>GPA Calculator</t>
        </is>
      </c>
      <c r="J443" s="5" t="inlineStr">
        <is>
          <t>/student/gpa-calculator</t>
        </is>
      </c>
      <c r="K443" s="5" t="inlineStr">
        <is>
          <t>Demonstrate why getting an 'O' (10) in a 1-credit lab has only one-fourth the weight of a 4-credit theory course on final SGPA.</t>
        </is>
      </c>
      <c r="L443" s="4" t="inlineStr">
        <is>
          <t>YES</t>
        </is>
      </c>
      <c r="M443" s="4" t="inlineStr">
        <is>
          <t>MEDIUM</t>
        </is>
      </c>
      <c r="N443" s="4" t="inlineStr">
        <is>
          <t>READY</t>
        </is>
      </c>
      <c r="O443" s="5" t="inlineStr"/>
      <c r="P443" s="5" t="inlineStr"/>
      <c r="Q443" s="5" t="inlineStr"/>
      <c r="R443" s="5" t="inlineStr"/>
    </row>
    <row r="444" ht="20" customHeight="1">
      <c r="A444" s="2" t="inlineStr">
        <is>
          <t>ST443</t>
        </is>
      </c>
      <c r="B444" s="3" t="inlineStr">
        <is>
          <t>How Many Grade Points Do You Need in Remaining Semesters to Reach 8.0 CGPA?</t>
        </is>
      </c>
      <c r="C444" s="2" t="inlineStr">
        <is>
          <t>Student</t>
        </is>
      </c>
      <c r="D444" s="3" t="inlineStr">
        <is>
          <t>GPA</t>
        </is>
      </c>
      <c r="E444" s="2" t="inlineStr">
        <is>
          <t>Planning Guide</t>
        </is>
      </c>
      <c r="F444" s="2" t="inlineStr">
        <is>
          <t>Planning</t>
        </is>
      </c>
      <c r="G444" s="3" t="inlineStr">
        <is>
          <t>how to reach 8 cgpa in college</t>
        </is>
      </c>
      <c r="H444" s="3" t="inlineStr">
        <is>
          <t>sgpa needed for 8 cgpa, target grade calculation, raising 7.2 to 8.0 cgpa</t>
        </is>
      </c>
      <c r="I444" s="3" t="inlineStr">
        <is>
          <t>GPA Calculator</t>
        </is>
      </c>
      <c r="J444" s="3" t="inlineStr">
        <is>
          <t>/student/gpa-calculator</t>
        </is>
      </c>
      <c r="K444" s="3" t="inlineStr">
        <is>
          <t>Provide algebraic derivation to compute required future semester SGPA: Required SGPA = (Target CGPA * Total Credits - Current SGPA * Completed Credits) / Remaining Credits.</t>
        </is>
      </c>
      <c r="L444" s="2" t="inlineStr">
        <is>
          <t>YES</t>
        </is>
      </c>
      <c r="M444" s="2" t="inlineStr">
        <is>
          <t>HIGH</t>
        </is>
      </c>
      <c r="N444" s="2" t="inlineStr">
        <is>
          <t>READY</t>
        </is>
      </c>
      <c r="O444" s="3" t="inlineStr"/>
      <c r="P444" s="3" t="inlineStr"/>
      <c r="Q444" s="3" t="inlineStr"/>
      <c r="R444" s="3" t="inlineStr"/>
    </row>
    <row r="445" ht="20" customHeight="1">
      <c r="A445" s="4" t="inlineStr">
        <is>
          <t>ST444</t>
        </is>
      </c>
      <c r="B445" s="5" t="inlineStr">
        <is>
          <t>How to Calculate GPA in Medical and Dental Colleges in India</t>
        </is>
      </c>
      <c r="C445" s="4" t="inlineStr">
        <is>
          <t>Student</t>
        </is>
      </c>
      <c r="D445" s="5" t="inlineStr">
        <is>
          <t>GPA</t>
        </is>
      </c>
      <c r="E445" s="4" t="inlineStr">
        <is>
          <t>Guide</t>
        </is>
      </c>
      <c r="F445" s="4" t="inlineStr">
        <is>
          <t>Reference</t>
        </is>
      </c>
      <c r="G445" s="5" t="inlineStr">
        <is>
          <t>gpa in mbbs colleges</t>
        </is>
      </c>
      <c r="H445" s="5" t="inlineStr">
        <is>
          <t>medical college grading system, mbbs marks to grade point, dental college gpa</t>
        </is>
      </c>
      <c r="I445" s="5" t="inlineStr">
        <is>
          <t>GPA Calculator</t>
        </is>
      </c>
      <c r="J445" s="5" t="inlineStr">
        <is>
          <t>/student/gpa-calculator</t>
        </is>
      </c>
      <c r="K445" s="5" t="inlineStr">
        <is>
          <t>Explain why traditional Indian medical programs historically used percentage marks, and how newer competency-based medical curricula (CBME) evaluate students.</t>
        </is>
      </c>
      <c r="L445" s="4" t="inlineStr">
        <is>
          <t>YES</t>
        </is>
      </c>
      <c r="M445" s="4" t="inlineStr">
        <is>
          <t>MEDIUM</t>
        </is>
      </c>
      <c r="N445" s="4" t="inlineStr">
        <is>
          <t>READY</t>
        </is>
      </c>
      <c r="O445" s="5" t="inlineStr"/>
      <c r="P445" s="5" t="inlineStr"/>
      <c r="Q445" s="5" t="inlineStr"/>
      <c r="R445" s="5" t="inlineStr"/>
    </row>
    <row r="446" ht="20" customHeight="1">
      <c r="A446" s="2" t="inlineStr">
        <is>
          <t>ST445</t>
        </is>
      </c>
      <c r="B446" s="3" t="inlineStr">
        <is>
          <t>Why Do Some Indian Institutes Use a 9-Point or 8-Point Grading Scale?</t>
        </is>
      </c>
      <c r="C446" s="2" t="inlineStr">
        <is>
          <t>Student</t>
        </is>
      </c>
      <c r="D446" s="3" t="inlineStr">
        <is>
          <t>GPA</t>
        </is>
      </c>
      <c r="E446" s="2" t="inlineStr">
        <is>
          <t>Explanation</t>
        </is>
      </c>
      <c r="F446" s="2" t="inlineStr">
        <is>
          <t>Educational</t>
        </is>
      </c>
      <c r="G446" s="3" t="inlineStr">
        <is>
          <t>non 10 point grading systems in india</t>
        </is>
      </c>
      <c r="H446" s="3" t="inlineStr">
        <is>
          <t>iit kanpur 10 point vs older grading, iim 9 point grading system, different gpa scales india</t>
        </is>
      </c>
      <c r="I446" s="3" t="inlineStr">
        <is>
          <t>GPA Calculator</t>
        </is>
      </c>
      <c r="J446" s="3" t="inlineStr">
        <is>
          <t>/student/gpa-calculator</t>
        </is>
      </c>
      <c r="K446" s="3" t="inlineStr">
        <is>
          <t>Review specialized scales (e.g. IIM 9-point or 4.33 scales), their historical origins, and transcript conversion guidelines for corporate recruiters.</t>
        </is>
      </c>
      <c r="L446" s="2" t="inlineStr">
        <is>
          <t>YES</t>
        </is>
      </c>
      <c r="M446" s="2" t="inlineStr">
        <is>
          <t>LOW</t>
        </is>
      </c>
      <c r="N446" s="2" t="inlineStr">
        <is>
          <t>READY</t>
        </is>
      </c>
      <c r="O446" s="3" t="inlineStr"/>
      <c r="P446" s="3" t="inlineStr"/>
      <c r="Q446" s="3" t="inlineStr"/>
      <c r="R446" s="3" t="inlineStr"/>
    </row>
    <row r="447" ht="20" customHeight="1">
      <c r="A447" s="4" t="inlineStr">
        <is>
          <t>ST446</t>
        </is>
      </c>
      <c r="B447" s="5" t="inlineStr">
        <is>
          <t>Can You Convert GPA to Marks Without Knowing Total Maximum Marks?</t>
        </is>
      </c>
      <c r="C447" s="4" t="inlineStr">
        <is>
          <t>Student</t>
        </is>
      </c>
      <c r="D447" s="5" t="inlineStr">
        <is>
          <t>GPA</t>
        </is>
      </c>
      <c r="E447" s="4" t="inlineStr">
        <is>
          <t>Explanation</t>
        </is>
      </c>
      <c r="F447" s="4" t="inlineStr">
        <is>
          <t>Educational</t>
        </is>
      </c>
      <c r="G447" s="5" t="inlineStr">
        <is>
          <t>convert gpa to marks without total</t>
        </is>
      </c>
      <c r="H447" s="5" t="inlineStr">
        <is>
          <t>estimating marks from cgpa, can you know exact marks from grade card, gpa precision</t>
        </is>
      </c>
      <c r="I447" s="5" t="inlineStr">
        <is>
          <t>GPA Calculator</t>
        </is>
      </c>
      <c r="J447" s="5" t="inlineStr">
        <is>
          <t>/student/gpa-calculator</t>
        </is>
      </c>
      <c r="K447" s="5" t="inlineStr">
        <is>
          <t>Explain why grade points represent intervals (e.g., Grade A = 80-89 marks), making exact raw mark reconstruction impossible without grade books.</t>
        </is>
      </c>
      <c r="L447" s="4" t="inlineStr">
        <is>
          <t>YES</t>
        </is>
      </c>
      <c r="M447" s="4" t="inlineStr">
        <is>
          <t>HIGH</t>
        </is>
      </c>
      <c r="N447" s="4" t="inlineStr">
        <is>
          <t>READY</t>
        </is>
      </c>
      <c r="O447" s="5" t="inlineStr"/>
      <c r="P447" s="5" t="inlineStr"/>
      <c r="Q447" s="5" t="inlineStr"/>
      <c r="R447" s="5" t="inlineStr"/>
    </row>
    <row r="448" ht="20" customHeight="1">
      <c r="A448" s="2" t="inlineStr">
        <is>
          <t>ST447</t>
        </is>
      </c>
      <c r="B448" s="3" t="inlineStr">
        <is>
          <t>How Summer Internships and Final Year Capstone Projects Are Credited in B.Tech</t>
        </is>
      </c>
      <c r="C448" s="2" t="inlineStr">
        <is>
          <t>Student</t>
        </is>
      </c>
      <c r="D448" s="3" t="inlineStr">
        <is>
          <t>GPA</t>
        </is>
      </c>
      <c r="E448" s="2" t="inlineStr">
        <is>
          <t>Guide</t>
        </is>
      </c>
      <c r="F448" s="2" t="inlineStr">
        <is>
          <t>Reference</t>
        </is>
      </c>
      <c r="G448" s="3" t="inlineStr">
        <is>
          <t>final year project credits btech</t>
        </is>
      </c>
      <c r="H448" s="3" t="inlineStr">
        <is>
          <t>capstone project credit weightage, internship credits in cgpa, major project grade impact</t>
        </is>
      </c>
      <c r="I448" s="3" t="inlineStr">
        <is>
          <t>GPA Calculator</t>
        </is>
      </c>
      <c r="J448" s="3" t="inlineStr">
        <is>
          <t>/student/gpa-calculator</t>
        </is>
      </c>
      <c r="K448" s="3" t="inlineStr">
        <is>
          <t>Examine major 8-to-12 credit capstone projects in semester 8 and how their high credit volume can significantly boost or damage final CGPA.</t>
        </is>
      </c>
      <c r="L448" s="2" t="inlineStr">
        <is>
          <t>YES</t>
        </is>
      </c>
      <c r="M448" s="2" t="inlineStr">
        <is>
          <t>HIGH</t>
        </is>
      </c>
      <c r="N448" s="2" t="inlineStr">
        <is>
          <t>READY</t>
        </is>
      </c>
      <c r="O448" s="3" t="inlineStr"/>
      <c r="P448" s="3" t="inlineStr"/>
      <c r="Q448" s="3" t="inlineStr"/>
      <c r="R448" s="3" t="inlineStr"/>
    </row>
    <row r="449" ht="20" customHeight="1">
      <c r="A449" s="4" t="inlineStr">
        <is>
          <t>ST448</t>
        </is>
      </c>
      <c r="B449" s="5" t="inlineStr">
        <is>
          <t>How to Calculate GPA for Dual Degree Programs (B.Tech + M.Tech Integrated)</t>
        </is>
      </c>
      <c r="C449" s="4" t="inlineStr">
        <is>
          <t>Student</t>
        </is>
      </c>
      <c r="D449" s="5" t="inlineStr">
        <is>
          <t>GPA</t>
        </is>
      </c>
      <c r="E449" s="4" t="inlineStr">
        <is>
          <t>Guide</t>
        </is>
      </c>
      <c r="F449" s="4" t="inlineStr">
        <is>
          <t>How-To</t>
        </is>
      </c>
      <c r="G449" s="5" t="inlineStr">
        <is>
          <t>dual degree gpa calculation</t>
        </is>
      </c>
      <c r="H449" s="5" t="inlineStr">
        <is>
          <t>integrated mtech cgpa, separate ug and pg gpa dual degree, 5 year integrated credit calculation</t>
        </is>
      </c>
      <c r="I449" s="5" t="inlineStr">
        <is>
          <t>GPA Calculator</t>
        </is>
      </c>
      <c r="J449" s="5" t="inlineStr">
        <is>
          <t>/student/gpa-calculator</t>
        </is>
      </c>
      <c r="K449" s="5" t="inlineStr">
        <is>
          <t>Explain how premier institutes maintain a single continuous 10-semester CGPA or split transcripts into undergraduate (1-8) and postgraduate (9-10) GPAs.</t>
        </is>
      </c>
      <c r="L449" s="4" t="inlineStr">
        <is>
          <t>YES</t>
        </is>
      </c>
      <c r="M449" s="4" t="inlineStr">
        <is>
          <t>MEDIUM</t>
        </is>
      </c>
      <c r="N449" s="4" t="inlineStr">
        <is>
          <t>READY</t>
        </is>
      </c>
      <c r="O449" s="5" t="inlineStr"/>
      <c r="P449" s="5" t="inlineStr"/>
      <c r="Q449" s="5" t="inlineStr"/>
      <c r="R449" s="5" t="inlineStr"/>
    </row>
    <row r="450" ht="20" customHeight="1">
      <c r="A450" s="2" t="inlineStr">
        <is>
          <t>ST449</t>
        </is>
      </c>
      <c r="B450" s="3" t="inlineStr">
        <is>
          <t>The Math of Grade Inflation in Engineering Colleges: Why 8.5 Is the New 7.5</t>
        </is>
      </c>
      <c r="C450" s="2" t="inlineStr">
        <is>
          <t>Student</t>
        </is>
      </c>
      <c r="D450" s="3" t="inlineStr">
        <is>
          <t>GPA</t>
        </is>
      </c>
      <c r="E450" s="2" t="inlineStr">
        <is>
          <t>Explanation</t>
        </is>
      </c>
      <c r="F450" s="2" t="inlineStr">
        <is>
          <t>Informational</t>
        </is>
      </c>
      <c r="G450" s="3" t="inlineStr">
        <is>
          <t>grade inflation in indian engineering colleges</t>
        </is>
      </c>
      <c r="H450" s="3" t="inlineStr">
        <is>
          <t>why college gpas are rising, average btech cgpa trend, competitive threshold inflation</t>
        </is>
      </c>
      <c r="I450" s="3" t="inlineStr">
        <is>
          <t>GPA Calculator</t>
        </is>
      </c>
      <c r="J450" s="3" t="inlineStr">
        <is>
          <t>/student/gpa-calculator</t>
        </is>
      </c>
      <c r="K450" s="3" t="inlineStr">
        <is>
          <t>Analyze the multi-decade upward drift in average graduation CGPAs across private and state autonomous universities and recruiter adjustments.</t>
        </is>
      </c>
      <c r="L450" s="2" t="inlineStr">
        <is>
          <t>YES</t>
        </is>
      </c>
      <c r="M450" s="2" t="inlineStr">
        <is>
          <t>LOW</t>
        </is>
      </c>
      <c r="N450" s="2" t="inlineStr">
        <is>
          <t>READY</t>
        </is>
      </c>
      <c r="O450" s="3" t="inlineStr"/>
      <c r="P450" s="3" t="inlineStr"/>
      <c r="Q450" s="3" t="inlineStr"/>
      <c r="R450" s="3" t="inlineStr"/>
    </row>
    <row r="451" ht="20" customHeight="1">
      <c r="A451" s="4" t="inlineStr">
        <is>
          <t>ST450</t>
        </is>
      </c>
      <c r="B451" s="5" t="inlineStr">
        <is>
          <t>How to Calculate Grade Point Average for Massive Open Online Courses (SWAYAM / NPTEL)</t>
        </is>
      </c>
      <c r="C451" s="4" t="inlineStr">
        <is>
          <t>Student</t>
        </is>
      </c>
      <c r="D451" s="5" t="inlineStr">
        <is>
          <t>GPA</t>
        </is>
      </c>
      <c r="E451" s="4" t="inlineStr">
        <is>
          <t>Guide</t>
        </is>
      </c>
      <c r="F451" s="4" t="inlineStr">
        <is>
          <t>Reference</t>
        </is>
      </c>
      <c r="G451" s="5" t="inlineStr">
        <is>
          <t>nptel credit transfer to college gpa</t>
        </is>
      </c>
      <c r="H451" s="5" t="inlineStr">
        <is>
          <t>swayam course grade in marksheet, nptel credits transferred to university, mooc gpa calculation</t>
        </is>
      </c>
      <c r="I451" s="5" t="inlineStr">
        <is>
          <t>GPA Calculator</t>
        </is>
      </c>
      <c r="J451" s="5" t="inlineStr">
        <is>
          <t>/student/gpa-calculator</t>
        </is>
      </c>
      <c r="K451" s="5" t="inlineStr">
        <is>
          <t>Detail UGC credit transfer regulations: how 20% of semester credits can be earned through NPTEL/SWAYAM and converted into university grade cards.</t>
        </is>
      </c>
      <c r="L451" s="4" t="inlineStr">
        <is>
          <t>YES</t>
        </is>
      </c>
      <c r="M451" s="4" t="inlineStr">
        <is>
          <t>HIGH</t>
        </is>
      </c>
      <c r="N451" s="4" t="inlineStr">
        <is>
          <t>READY</t>
        </is>
      </c>
      <c r="O451" s="5" t="inlineStr"/>
      <c r="P451" s="5" t="inlineStr"/>
      <c r="Q451" s="5" t="inlineStr"/>
      <c r="R451" s="5" t="inlineStr"/>
    </row>
    <row r="452" ht="20" customHeight="1">
      <c r="A452" s="2" t="inlineStr">
        <is>
          <t>ST451</t>
        </is>
      </c>
      <c r="B452" s="3" t="inlineStr">
        <is>
          <t>Does Dropping an Elective Course Impact Your Semester GPA Calculation?</t>
        </is>
      </c>
      <c r="C452" s="2" t="inlineStr">
        <is>
          <t>Student</t>
        </is>
      </c>
      <c r="D452" s="3" t="inlineStr">
        <is>
          <t>GPA</t>
        </is>
      </c>
      <c r="E452" s="2" t="inlineStr">
        <is>
          <t>Explanation</t>
        </is>
      </c>
      <c r="F452" s="2" t="inlineStr">
        <is>
          <t>How-To</t>
        </is>
      </c>
      <c r="G452" s="3" t="inlineStr">
        <is>
          <t>dropping a course college gpa impact</t>
        </is>
      </c>
      <c r="H452" s="3" t="inlineStr">
        <is>
          <t>course withdrawal deadline gpa, w grade in college, dropping elective credit calculation</t>
        </is>
      </c>
      <c r="I452" s="3" t="inlineStr">
        <is>
          <t>GPA Calculator</t>
        </is>
      </c>
      <c r="J452" s="3" t="inlineStr">
        <is>
          <t>/student/gpa-calculator</t>
        </is>
      </c>
      <c r="K452" s="3" t="inlineStr">
        <is>
          <t>Explain institutional course drop deadlines: dropping before the deadline leaves no trace, while late drops result in a 'W' (Withdrawn) without affecting GPA.</t>
        </is>
      </c>
      <c r="L452" s="2" t="inlineStr">
        <is>
          <t>YES</t>
        </is>
      </c>
      <c r="M452" s="2" t="inlineStr">
        <is>
          <t>MEDIUM</t>
        </is>
      </c>
      <c r="N452" s="2" t="inlineStr">
        <is>
          <t>READY</t>
        </is>
      </c>
      <c r="O452" s="3" t="inlineStr"/>
      <c r="P452" s="3" t="inlineStr"/>
      <c r="Q452" s="3" t="inlineStr"/>
      <c r="R452" s="3" t="inlineStr"/>
    </row>
    <row r="453" ht="20" customHeight="1">
      <c r="A453" s="4" t="inlineStr">
        <is>
          <t>ST452</t>
        </is>
      </c>
      <c r="B453" s="5" t="inlineStr">
        <is>
          <t>How to Audit Your Semester Grade Card for Calculation Errors by the University</t>
        </is>
      </c>
      <c r="C453" s="4" t="inlineStr">
        <is>
          <t>Student</t>
        </is>
      </c>
      <c r="D453" s="5" t="inlineStr">
        <is>
          <t>GPA</t>
        </is>
      </c>
      <c r="E453" s="4" t="inlineStr">
        <is>
          <t>How-To</t>
        </is>
      </c>
      <c r="F453" s="4" t="inlineStr">
        <is>
          <t>How-To</t>
        </is>
      </c>
      <c r="G453" s="5" t="inlineStr">
        <is>
          <t>how to verify sgpa on marksheet</t>
        </is>
      </c>
      <c r="H453" s="5" t="inlineStr">
        <is>
          <t>grade card error checking, university calculation mistake, verifying quality points on transcript</t>
        </is>
      </c>
      <c r="I453" s="5" t="inlineStr">
        <is>
          <t>GPA Calculator</t>
        </is>
      </c>
      <c r="J453" s="5" t="inlineStr">
        <is>
          <t>/student/gpa-calculator</t>
        </is>
      </c>
      <c r="K453" s="5" t="inlineStr">
        <is>
          <t>Provide a verification audit protocol: multiply each subject's credit by its assigned grade point, sum them up, divide by total registered credits, and check against printed SGPA.</t>
        </is>
      </c>
      <c r="L453" s="4" t="inlineStr">
        <is>
          <t>YES</t>
        </is>
      </c>
      <c r="M453" s="4" t="inlineStr">
        <is>
          <t>HIGH</t>
        </is>
      </c>
      <c r="N453" s="4" t="inlineStr">
        <is>
          <t>READY</t>
        </is>
      </c>
      <c r="O453" s="5" t="inlineStr"/>
      <c r="P453" s="5" t="inlineStr"/>
      <c r="Q453" s="5" t="inlineStr"/>
      <c r="R453" s="5" t="inlineStr"/>
    </row>
    <row r="454" ht="20" customHeight="1">
      <c r="A454" s="2" t="inlineStr">
        <is>
          <t>ST453</t>
        </is>
      </c>
      <c r="B454" s="3" t="inlineStr">
        <is>
          <t>Calculating Minimum GPA Needed to Retain College Merit Scholarships</t>
        </is>
      </c>
      <c r="C454" s="2" t="inlineStr">
        <is>
          <t>Student</t>
        </is>
      </c>
      <c r="D454" s="3" t="inlineStr">
        <is>
          <t>GPA</t>
        </is>
      </c>
      <c r="E454" s="2" t="inlineStr">
        <is>
          <t>Planning Guide</t>
        </is>
      </c>
      <c r="F454" s="2" t="inlineStr">
        <is>
          <t>Planning</t>
        </is>
      </c>
      <c r="G454" s="3" t="inlineStr">
        <is>
          <t>gpa needed to keep scholarship</t>
        </is>
      </c>
      <c r="H454" s="3" t="inlineStr">
        <is>
          <t>scholarship renewal cgpa criteria, maintaining 8.5 gpa for fee waiver, academic criteria scholarship</t>
        </is>
      </c>
      <c r="I454" s="3" t="inlineStr">
        <is>
          <t>GPA Calculator</t>
        </is>
      </c>
      <c r="J454" s="3" t="inlineStr">
        <is>
          <t>/student/gpa-calculator</t>
        </is>
      </c>
      <c r="K454" s="3" t="inlineStr">
        <is>
          <t>Guide students through tracking their required cumulative milestone, identifying threshold danger zones, and budgeting study time accordingly.</t>
        </is>
      </c>
      <c r="L454" s="2" t="inlineStr">
        <is>
          <t>YES</t>
        </is>
      </c>
      <c r="M454" s="2" t="inlineStr">
        <is>
          <t>HIGH</t>
        </is>
      </c>
      <c r="N454" s="2" t="inlineStr">
        <is>
          <t>READY</t>
        </is>
      </c>
      <c r="O454" s="3" t="inlineStr"/>
      <c r="P454" s="3" t="inlineStr"/>
      <c r="Q454" s="3" t="inlineStr"/>
      <c r="R454" s="3" t="inlineStr"/>
    </row>
    <row r="455" ht="20" customHeight="1">
      <c r="A455" s="4" t="inlineStr">
        <is>
          <t>ST454</t>
        </is>
      </c>
      <c r="B455" s="5" t="inlineStr">
        <is>
          <t>How Relative Grading (Grading on a Curve) Calculates Grade Points Automatically</t>
        </is>
      </c>
      <c r="C455" s="4" t="inlineStr">
        <is>
          <t>Student</t>
        </is>
      </c>
      <c r="D455" s="5" t="inlineStr">
        <is>
          <t>GPA</t>
        </is>
      </c>
      <c r="E455" s="4" t="inlineStr">
        <is>
          <t>Explanation</t>
        </is>
      </c>
      <c r="F455" s="4" t="inlineStr">
        <is>
          <t>Educational</t>
        </is>
      </c>
      <c r="G455" s="5" t="inlineStr">
        <is>
          <t>how grading on a curve works in college</t>
        </is>
      </c>
      <c r="H455" s="5" t="inlineStr">
        <is>
          <t>relative grading formula mean standard deviation, bell curve marks to grades, iit nit relative grading</t>
        </is>
      </c>
      <c r="I455" s="5" t="inlineStr">
        <is>
          <t>GPA Calculator</t>
        </is>
      </c>
      <c r="J455" s="5" t="inlineStr">
        <is>
          <t>/student/gpa-calculator</t>
        </is>
      </c>
      <c r="K455" s="5" t="inlineStr">
        <is>
          <t>Demonstrate how mean ($\mu$) and standard deviation ($\sigma$) define grade boundaries: e.g. O grade $\ge \mu + 1.5\sigma$, A+ grade between $\mu + 1.0\sigma$ and $\mu + 1.5\sigma$.</t>
        </is>
      </c>
      <c r="L455" s="4" t="inlineStr">
        <is>
          <t>YES</t>
        </is>
      </c>
      <c r="M455" s="4" t="inlineStr">
        <is>
          <t>HIGH</t>
        </is>
      </c>
      <c r="N455" s="4" t="inlineStr">
        <is>
          <t>READY</t>
        </is>
      </c>
      <c r="O455" s="5" t="inlineStr"/>
      <c r="P455" s="5" t="inlineStr"/>
      <c r="Q455" s="5" t="inlineStr"/>
      <c r="R455" s="5" t="inlineStr"/>
    </row>
    <row r="456" ht="20" customHeight="1">
      <c r="A456" s="2" t="inlineStr">
        <is>
          <t>ST455</t>
        </is>
      </c>
      <c r="B456" s="3" t="inlineStr">
        <is>
          <t>Absolute vs Relative Grading: Why an 85% Score Might Receive Different Grades</t>
        </is>
      </c>
      <c r="C456" s="2" t="inlineStr">
        <is>
          <t>Student</t>
        </is>
      </c>
      <c r="D456" s="3" t="inlineStr">
        <is>
          <t>GPA</t>
        </is>
      </c>
      <c r="E456" s="2" t="inlineStr">
        <is>
          <t>Comparison</t>
        </is>
      </c>
      <c r="F456" s="2" t="inlineStr">
        <is>
          <t>Comparison</t>
        </is>
      </c>
      <c r="G456" s="3" t="inlineStr">
        <is>
          <t>absolute vs relative grading college</t>
        </is>
      </c>
      <c r="H456" s="3" t="inlineStr">
        <is>
          <t>why relative grading is better, absolute grading disadvantage, college grading comparison</t>
        </is>
      </c>
      <c r="I456" s="3" t="inlineStr">
        <is>
          <t>GPA Calculator</t>
        </is>
      </c>
      <c r="J456" s="3" t="inlineStr">
        <is>
          <t>/student/gpa-calculator</t>
        </is>
      </c>
      <c r="K456" s="3" t="inlineStr">
        <is>
          <t>Contrast fixed marks thresholds (90% = O) with performance relative to peer class distributions in challenging or overly easy exams.</t>
        </is>
      </c>
      <c r="L456" s="2" t="inlineStr">
        <is>
          <t>YES</t>
        </is>
      </c>
      <c r="M456" s="2" t="inlineStr">
        <is>
          <t>HIGH</t>
        </is>
      </c>
      <c r="N456" s="2" t="inlineStr">
        <is>
          <t>READY</t>
        </is>
      </c>
      <c r="O456" s="3" t="inlineStr"/>
      <c r="P456" s="3" t="inlineStr"/>
      <c r="Q456" s="3" t="inlineStr"/>
      <c r="R456" s="3" t="inlineStr"/>
    </row>
    <row r="457" ht="20" customHeight="1">
      <c r="A457" s="4" t="inlineStr">
        <is>
          <t>ST456</t>
        </is>
      </c>
      <c r="B457" s="5" t="inlineStr">
        <is>
          <t>How to Calculate Cumulative GPA When Semesters Have Unequal Credits</t>
        </is>
      </c>
      <c r="C457" s="4" t="inlineStr">
        <is>
          <t>Student</t>
        </is>
      </c>
      <c r="D457" s="5" t="inlineStr">
        <is>
          <t>GPA</t>
        </is>
      </c>
      <c r="E457" s="4" t="inlineStr">
        <is>
          <t>Example</t>
        </is>
      </c>
      <c r="F457" s="4" t="inlineStr">
        <is>
          <t>How-To</t>
        </is>
      </c>
      <c r="G457" s="5" t="inlineStr">
        <is>
          <t>cgpa with unequal semester credits calculation</t>
        </is>
      </c>
      <c r="H457" s="5" t="inlineStr">
        <is>
          <t>worked example cgpa calculation, weighted semester average formula, multi semester credit weighting</t>
        </is>
      </c>
      <c r="I457" s="5" t="inlineStr">
        <is>
          <t>GPA Calculator</t>
        </is>
      </c>
      <c r="J457" s="5" t="inlineStr">
        <is>
          <t>/student/gpa-calculator</t>
        </is>
      </c>
      <c r="K457" s="5" t="inlineStr">
        <is>
          <t>Detailed worked example: Semester 1 (20 credits, SGPA 8.0) + Semester 2 (24 credits, SGPA 8.5) -&gt; correct weighted CGPA = 8.27 (not 8.25).</t>
        </is>
      </c>
      <c r="L457" s="4" t="inlineStr">
        <is>
          <t>YES</t>
        </is>
      </c>
      <c r="M457" s="4" t="inlineStr">
        <is>
          <t>HIGH</t>
        </is>
      </c>
      <c r="N457" s="4" t="inlineStr">
        <is>
          <t>READY</t>
        </is>
      </c>
      <c r="O457" s="5" t="inlineStr"/>
      <c r="P457" s="5" t="inlineStr"/>
      <c r="Q457" s="5" t="inlineStr"/>
      <c r="R457" s="5" t="inlineStr"/>
    </row>
    <row r="458" ht="20" customHeight="1">
      <c r="A458" s="2" t="inlineStr">
        <is>
          <t>ST457</t>
        </is>
      </c>
      <c r="B458" s="3" t="inlineStr">
        <is>
          <t>How Many Grade Points Does an 'Incomplete' (I) Grade Carry?</t>
        </is>
      </c>
      <c r="C458" s="2" t="inlineStr">
        <is>
          <t>Student</t>
        </is>
      </c>
      <c r="D458" s="3" t="inlineStr">
        <is>
          <t>GPA</t>
        </is>
      </c>
      <c r="E458" s="2" t="inlineStr">
        <is>
          <t>Explanation</t>
        </is>
      </c>
      <c r="F458" s="2" t="inlineStr">
        <is>
          <t>Reference</t>
        </is>
      </c>
      <c r="G458" s="3" t="inlineStr">
        <is>
          <t>what does i grade mean on transcript</t>
        </is>
      </c>
      <c r="H458" s="3" t="inlineStr">
        <is>
          <t>incomplete grade college, resolving i grade deadline, temporary grade on marksheet</t>
        </is>
      </c>
      <c r="I458" s="3" t="inlineStr">
        <is>
          <t>GPA Calculator</t>
        </is>
      </c>
      <c r="J458" s="3" t="inlineStr">
        <is>
          <t>/student/gpa-calculator</t>
        </is>
      </c>
      <c r="K458" s="3" t="inlineStr">
        <is>
          <t>Explain how an 'I' grade temporarily suspends GPA calculation until make-up exams or project submissions are evaluated.</t>
        </is>
      </c>
      <c r="L458" s="2" t="inlineStr">
        <is>
          <t>YES</t>
        </is>
      </c>
      <c r="M458" s="2" t="inlineStr">
        <is>
          <t>LOW</t>
        </is>
      </c>
      <c r="N458" s="2" t="inlineStr">
        <is>
          <t>READY</t>
        </is>
      </c>
      <c r="O458" s="3" t="inlineStr"/>
      <c r="P458" s="3" t="inlineStr"/>
      <c r="Q458" s="3" t="inlineStr"/>
      <c r="R458" s="3" t="inlineStr"/>
    </row>
    <row r="459" ht="20" customHeight="1">
      <c r="A459" s="4" t="inlineStr">
        <is>
          <t>ST458</t>
        </is>
      </c>
      <c r="B459" s="5" t="inlineStr">
        <is>
          <t>Understanding Dean's List and Honor Roll GPA Thresholds in Universities</t>
        </is>
      </c>
      <c r="C459" s="4" t="inlineStr">
        <is>
          <t>Student</t>
        </is>
      </c>
      <c r="D459" s="5" t="inlineStr">
        <is>
          <t>GPA</t>
        </is>
      </c>
      <c r="E459" s="4" t="inlineStr">
        <is>
          <t>Guide</t>
        </is>
      </c>
      <c r="F459" s="4" t="inlineStr">
        <is>
          <t>Reference</t>
        </is>
      </c>
      <c r="G459" s="5" t="inlineStr">
        <is>
          <t>deans list gpa criteria</t>
        </is>
      </c>
      <c r="H459" s="5" t="inlineStr">
        <is>
          <t>how to get on deans list, academic honors gpa, gold medalist cgpa threshold</t>
        </is>
      </c>
      <c r="I459" s="5" t="inlineStr">
        <is>
          <t>GPA Calculator</t>
        </is>
      </c>
      <c r="J459" s="5" t="inlineStr">
        <is>
          <t>/student/gpa-calculator</t>
        </is>
      </c>
      <c r="K459" s="5" t="inlineStr">
        <is>
          <t>Review typical university honors benchmarks: Dean's List (SGPA 9.0+ in a minimum 18-credit semester with no backlogs).</t>
        </is>
      </c>
      <c r="L459" s="4" t="inlineStr">
        <is>
          <t>YES</t>
        </is>
      </c>
      <c r="M459" s="4" t="inlineStr">
        <is>
          <t>MEDIUM</t>
        </is>
      </c>
      <c r="N459" s="4" t="inlineStr">
        <is>
          <t>READY</t>
        </is>
      </c>
      <c r="O459" s="5" t="inlineStr"/>
      <c r="P459" s="5" t="inlineStr"/>
      <c r="Q459" s="5" t="inlineStr"/>
      <c r="R459" s="5" t="inlineStr"/>
    </row>
    <row r="460" ht="20" customHeight="1">
      <c r="A460" s="2" t="inlineStr">
        <is>
          <t>ST459</t>
        </is>
      </c>
      <c r="B460" s="3" t="inlineStr">
        <is>
          <t>How to Calculate Cumulative Grade Point Average for Transfer Students</t>
        </is>
      </c>
      <c r="C460" s="2" t="inlineStr">
        <is>
          <t>Student</t>
        </is>
      </c>
      <c r="D460" s="3" t="inlineStr">
        <is>
          <t>GPA</t>
        </is>
      </c>
      <c r="E460" s="2" t="inlineStr">
        <is>
          <t>Guide</t>
        </is>
      </c>
      <c r="F460" s="2" t="inlineStr">
        <is>
          <t>How-To</t>
        </is>
      </c>
      <c r="G460" s="3" t="inlineStr">
        <is>
          <t>how transfer credits affect cgpa</t>
        </is>
      </c>
      <c r="H460" s="3" t="inlineStr">
        <is>
          <t>migrating colleges gpa calculation, credit waiver university transfer, transcript gpa transfer</t>
        </is>
      </c>
      <c r="I460" s="3" t="inlineStr">
        <is>
          <t>GPA Calculator</t>
        </is>
      </c>
      <c r="J460" s="3" t="inlineStr">
        <is>
          <t>/student/gpa-calculator</t>
        </is>
      </c>
      <c r="K460" s="3" t="inlineStr">
        <is>
          <t>Explain how universities transfer accepted course credits without transferring previous numerical grade points, resetting institutional GPA.</t>
        </is>
      </c>
      <c r="L460" s="2" t="inlineStr">
        <is>
          <t>YES</t>
        </is>
      </c>
      <c r="M460" s="2" t="inlineStr">
        <is>
          <t>MEDIUM</t>
        </is>
      </c>
      <c r="N460" s="2" t="inlineStr">
        <is>
          <t>READY</t>
        </is>
      </c>
      <c r="O460" s="3" t="inlineStr"/>
      <c r="P460" s="3" t="inlineStr"/>
      <c r="Q460" s="3" t="inlineStr"/>
      <c r="R460" s="3" t="inlineStr"/>
    </row>
    <row r="461" ht="20" customHeight="1">
      <c r="A461" s="4" t="inlineStr">
        <is>
          <t>ST460</t>
        </is>
      </c>
      <c r="B461" s="5" t="inlineStr">
        <is>
          <t>Summary Guide: Key GPA Formulas, Symbols, and Credit Calculations</t>
        </is>
      </c>
      <c r="C461" s="4" t="inlineStr">
        <is>
          <t>Student</t>
        </is>
      </c>
      <c r="D461" s="5" t="inlineStr">
        <is>
          <t>GPA</t>
        </is>
      </c>
      <c r="E461" s="4" t="inlineStr">
        <is>
          <t>Formula Guide</t>
        </is>
      </c>
      <c r="F461" s="4" t="inlineStr">
        <is>
          <t>Reference</t>
        </is>
      </c>
      <c r="G461" s="5" t="inlineStr">
        <is>
          <t>gpa formulas reference guide</t>
        </is>
      </c>
      <c r="H461" s="5" t="inlineStr">
        <is>
          <t>all gpa formulas cheat sheet, sgpa cgpa quality points formulas, grading scale summary</t>
        </is>
      </c>
      <c r="I461" s="5" t="inlineStr">
        <is>
          <t>GPA Calculator</t>
        </is>
      </c>
      <c r="J461" s="5" t="inlineStr">
        <is>
          <t>/student/gpa-calculator</t>
        </is>
      </c>
      <c r="K461" s="5" t="inlineStr">
        <is>
          <t>Comprehensive reference sheet of all essential academic formulas: SGPA, CGPA, Quality Points, Credit Weighting, and Reverse Conversion approximations.</t>
        </is>
      </c>
      <c r="L461" s="4" t="inlineStr">
        <is>
          <t>YES</t>
        </is>
      </c>
      <c r="M461" s="4" t="inlineStr">
        <is>
          <t>HIGH</t>
        </is>
      </c>
      <c r="N461" s="4" t="inlineStr">
        <is>
          <t>READY</t>
        </is>
      </c>
      <c r="O461" s="5" t="inlineStr"/>
      <c r="P461" s="5" t="inlineStr"/>
      <c r="Q461" s="5" t="inlineStr"/>
      <c r="R461" s="5" t="inlineStr"/>
    </row>
    <row r="462" ht="20" customHeight="1">
      <c r="A462" s="2" t="inlineStr">
        <is>
          <t>ST461</t>
        </is>
      </c>
      <c r="B462" s="3" t="inlineStr">
        <is>
          <t>How to Calculate Marks Needed in Final Exams to Get an Overall 75% Target</t>
        </is>
      </c>
      <c r="C462" s="2" t="inlineStr">
        <is>
          <t>Student</t>
        </is>
      </c>
      <c r="D462" s="3" t="inlineStr">
        <is>
          <t>Required Marks</t>
        </is>
      </c>
      <c r="E462" s="2" t="inlineStr">
        <is>
          <t>Formula Guide</t>
        </is>
      </c>
      <c r="F462" s="2" t="inlineStr">
        <is>
          <t>Planning</t>
        </is>
      </c>
      <c r="G462" s="3" t="inlineStr">
        <is>
          <t>how to calculate marks needed in final exam</t>
        </is>
      </c>
      <c r="H462" s="3" t="inlineStr">
        <is>
          <t>required marks formula, final exam target score, passing marks needed calculator</t>
        </is>
      </c>
      <c r="I462" s="3" t="inlineStr">
        <is>
          <t>Required Marks Calculator</t>
        </is>
      </c>
      <c r="J462" s="3" t="inlineStr">
        <is>
          <t>/student/required-marks</t>
        </is>
      </c>
      <c r="K462" s="3" t="inlineStr">
        <is>
          <t>Formulate target equation: Required Final Marks = (Target Aggregate * Total Max Marks - Current Total Marks Scored) / Final Weight. Work through worked scenarios.</t>
        </is>
      </c>
      <c r="L462" s="2" t="inlineStr">
        <is>
          <t>YES</t>
        </is>
      </c>
      <c r="M462" s="2" t="inlineStr">
        <is>
          <t>HIGH</t>
        </is>
      </c>
      <c r="N462" s="2" t="inlineStr">
        <is>
          <t>READY</t>
        </is>
      </c>
      <c r="O462" s="3" t="inlineStr"/>
      <c r="P462" s="3" t="inlineStr"/>
      <c r="Q462" s="3" t="inlineStr"/>
      <c r="R462" s="3" t="inlineStr"/>
    </row>
    <row r="463" ht="20" customHeight="1">
      <c r="A463" s="4" t="inlineStr">
        <is>
          <t>ST462</t>
        </is>
      </c>
      <c r="B463" s="5" t="inlineStr">
        <is>
          <t>How Many Marks Do You Need in the End-Sem to Pass After Poor Midterm Scores?</t>
        </is>
      </c>
      <c r="C463" s="4" t="inlineStr">
        <is>
          <t>Student</t>
        </is>
      </c>
      <c r="D463" s="5" t="inlineStr">
        <is>
          <t>Required Marks</t>
        </is>
      </c>
      <c r="E463" s="4" t="inlineStr">
        <is>
          <t>How-To</t>
        </is>
      </c>
      <c r="F463" s="4" t="inlineStr">
        <is>
          <t>Planning</t>
        </is>
      </c>
      <c r="G463" s="5" t="inlineStr">
        <is>
          <t>marks needed in end sem to pass</t>
        </is>
      </c>
      <c r="H463" s="5" t="inlineStr">
        <is>
          <t>passing marks needed in final exam, recovering from low mid term marks, minimum passing marks formula</t>
        </is>
      </c>
      <c r="I463" s="5" t="inlineStr">
        <is>
          <t>Required Marks Calculator</t>
        </is>
      </c>
      <c r="J463" s="5" t="inlineStr">
        <is>
          <t>/student/required-marks</t>
        </is>
      </c>
      <c r="K463" s="5" t="inlineStr">
        <is>
          <t>Solve university passing scenarios: if you scored 8/30 in internal assessments, calculate exact marks needed out of 70 in the university final exam to secure 40% overall.</t>
        </is>
      </c>
      <c r="L463" s="4" t="inlineStr">
        <is>
          <t>YES</t>
        </is>
      </c>
      <c r="M463" s="4" t="inlineStr">
        <is>
          <t>HIGH</t>
        </is>
      </c>
      <c r="N463" s="4" t="inlineStr">
        <is>
          <t>READY</t>
        </is>
      </c>
      <c r="O463" s="5" t="inlineStr"/>
      <c r="P463" s="5" t="inlineStr"/>
      <c r="Q463" s="5" t="inlineStr"/>
      <c r="R463" s="5" t="inlineStr"/>
    </row>
    <row r="464" ht="20" customHeight="1">
      <c r="A464" s="2" t="inlineStr">
        <is>
          <t>ST463</t>
        </is>
      </c>
      <c r="B464" s="3" t="inlineStr">
        <is>
          <t>How to Calculate Final Exam Score Required to Achieve a First Class Degree (60%)</t>
        </is>
      </c>
      <c r="C464" s="2" t="inlineStr">
        <is>
          <t>Student</t>
        </is>
      </c>
      <c r="D464" s="3" t="inlineStr">
        <is>
          <t>Required Marks</t>
        </is>
      </c>
      <c r="E464" s="2" t="inlineStr">
        <is>
          <t>Planning Guide</t>
        </is>
      </c>
      <c r="F464" s="2" t="inlineStr">
        <is>
          <t>Planning</t>
        </is>
      </c>
      <c r="G464" s="3" t="inlineStr">
        <is>
          <t>marks needed for first class in final year</t>
        </is>
      </c>
      <c r="H464" s="3" t="inlineStr">
        <is>
          <t>securing 60 percent aggregate in college, target score for first division, final semester required marks</t>
        </is>
      </c>
      <c r="I464" s="3" t="inlineStr">
        <is>
          <t>Required Marks Calculator</t>
        </is>
      </c>
      <c r="J464" s="3" t="inlineStr">
        <is>
          <t>/student/required-marks</t>
        </is>
      </c>
      <c r="K464" s="3" t="inlineStr">
        <is>
          <t>Step-by-step calculation taking aggregate marks from semesters 1-5 to determine required average score across semester 6 subjects to hit 60.0%.</t>
        </is>
      </c>
      <c r="L464" s="2" t="inlineStr">
        <is>
          <t>YES</t>
        </is>
      </c>
      <c r="M464" s="2" t="inlineStr">
        <is>
          <t>HIGH</t>
        </is>
      </c>
      <c r="N464" s="2" t="inlineStr">
        <is>
          <t>READY</t>
        </is>
      </c>
      <c r="O464" s="3" t="inlineStr"/>
      <c r="P464" s="3" t="inlineStr"/>
      <c r="Q464" s="3" t="inlineStr"/>
      <c r="R464" s="3" t="inlineStr"/>
    </row>
    <row r="465" ht="20" customHeight="1">
      <c r="A465" s="4" t="inlineStr">
        <is>
          <t>ST464</t>
        </is>
      </c>
      <c r="B465" s="5" t="inlineStr">
        <is>
          <t>What Score Do You Need in Your Final Assessment to Keep Your Scholarship?</t>
        </is>
      </c>
      <c r="C465" s="4" t="inlineStr">
        <is>
          <t>Student</t>
        </is>
      </c>
      <c r="D465" s="5" t="inlineStr">
        <is>
          <t>Required Marks</t>
        </is>
      </c>
      <c r="E465" s="4" t="inlineStr">
        <is>
          <t>Planning Guide</t>
        </is>
      </c>
      <c r="F465" s="4" t="inlineStr">
        <is>
          <t>Planning</t>
        </is>
      </c>
      <c r="G465" s="5" t="inlineStr">
        <is>
          <t>marks needed to maintain scholarship</t>
        </is>
      </c>
      <c r="H465" s="5" t="inlineStr">
        <is>
          <t>scholarship target score calculation, academic requirement final exam, retaining fee waiver score</t>
        </is>
      </c>
      <c r="I465" s="5" t="inlineStr">
        <is>
          <t>Required Marks Calculator</t>
        </is>
      </c>
      <c r="J465" s="5" t="inlineStr">
        <is>
          <t>/student/required-marks</t>
        </is>
      </c>
      <c r="K465" s="5" t="inlineStr">
        <is>
          <t>Calculate required marks across final evaluations when maintaining an 80% or 8.5 CGPA scholarship renewal threshold.</t>
        </is>
      </c>
      <c r="L465" s="4" t="inlineStr">
        <is>
          <t>YES</t>
        </is>
      </c>
      <c r="M465" s="4" t="inlineStr">
        <is>
          <t>HIGH</t>
        </is>
      </c>
      <c r="N465" s="4" t="inlineStr">
        <is>
          <t>READY</t>
        </is>
      </c>
      <c r="O465" s="5" t="inlineStr"/>
      <c r="P465" s="5" t="inlineStr"/>
      <c r="Q465" s="5" t="inlineStr"/>
      <c r="R465" s="5" t="inlineStr"/>
    </row>
    <row r="466" ht="20" customHeight="1">
      <c r="A466" s="2" t="inlineStr">
        <is>
          <t>ST465</t>
        </is>
      </c>
      <c r="B466" s="3" t="inlineStr">
        <is>
          <t>Is It Mathematically Possible to Get 80% Overall If Midterms Were 50%?</t>
        </is>
      </c>
      <c r="C466" s="2" t="inlineStr">
        <is>
          <t>Student</t>
        </is>
      </c>
      <c r="D466" s="3" t="inlineStr">
        <is>
          <t>Required Marks</t>
        </is>
      </c>
      <c r="E466" s="2" t="inlineStr">
        <is>
          <t>Explanation</t>
        </is>
      </c>
      <c r="F466" s="2" t="inlineStr">
        <is>
          <t>Educational</t>
        </is>
      </c>
      <c r="G466" s="3" t="inlineStr">
        <is>
          <t>can i reach 80 if mid term is 50</t>
        </is>
      </c>
      <c r="H466" s="3" t="inlineStr">
        <is>
          <t>recovering overall percentage after low midterms, mathematical feasibility of final score, required marks reality check</t>
        </is>
      </c>
      <c r="I466" s="3" t="inlineStr">
        <is>
          <t>Required Marks Calculator</t>
        </is>
      </c>
      <c r="J466" s="3" t="inlineStr">
        <is>
          <t>/student/required-marks</t>
        </is>
      </c>
      <c r="K466" s="3" t="inlineStr">
        <is>
          <t>Break down weightage math: if internal midterm is 30% and final exam is 70%, calculate that you need (80 - 15) / 0.70 = 92.8% in the final exam.</t>
        </is>
      </c>
      <c r="L466" s="2" t="inlineStr">
        <is>
          <t>YES</t>
        </is>
      </c>
      <c r="M466" s="2" t="inlineStr">
        <is>
          <t>HIGH</t>
        </is>
      </c>
      <c r="N466" s="2" t="inlineStr">
        <is>
          <t>READY</t>
        </is>
      </c>
      <c r="O466" s="3" t="inlineStr"/>
      <c r="P466" s="3" t="inlineStr"/>
      <c r="Q466" s="3" t="inlineStr"/>
      <c r="R466" s="3" t="inlineStr"/>
    </row>
    <row r="467" ht="20" customHeight="1">
      <c r="A467" s="4" t="inlineStr">
        <is>
          <t>ST466</t>
        </is>
      </c>
      <c r="B467" s="5" t="inlineStr">
        <is>
          <t>How to Calculate Required Marks When Internal Assessments Are Split into Multiple Quizzes</t>
        </is>
      </c>
      <c r="C467" s="4" t="inlineStr">
        <is>
          <t>Student</t>
        </is>
      </c>
      <c r="D467" s="5" t="inlineStr">
        <is>
          <t>Required Marks</t>
        </is>
      </c>
      <c r="E467" s="4" t="inlineStr">
        <is>
          <t>How-To</t>
        </is>
      </c>
      <c r="F467" s="4" t="inlineStr">
        <is>
          <t>How-To</t>
        </is>
      </c>
      <c r="G467" s="5" t="inlineStr">
        <is>
          <t>calculating required marks with continuous evaluation</t>
        </is>
      </c>
      <c r="H467" s="5" t="inlineStr">
        <is>
          <t>continuous assessment marks needed, quiz assignment lab required score, target score continuous evaluation</t>
        </is>
      </c>
      <c r="I467" s="5" t="inlineStr">
        <is>
          <t>Required Marks Calculator</t>
        </is>
      </c>
      <c r="J467" s="5" t="inlineStr">
        <is>
          <t>/student/required-marks</t>
        </is>
      </c>
      <c r="K467" s="5" t="inlineStr">
        <is>
          <t>Guide students through summing dynamic micro-assessments (quizzes, lab records, presentations) to determine the residual score needed in end-terms.</t>
        </is>
      </c>
      <c r="L467" s="4" t="inlineStr">
        <is>
          <t>YES</t>
        </is>
      </c>
      <c r="M467" s="4" t="inlineStr">
        <is>
          <t>MEDIUM</t>
        </is>
      </c>
      <c r="N467" s="4" t="inlineStr">
        <is>
          <t>READY</t>
        </is>
      </c>
      <c r="O467" s="5" t="inlineStr"/>
      <c r="P467" s="5" t="inlineStr"/>
      <c r="Q467" s="5" t="inlineStr"/>
      <c r="R467" s="5" t="inlineStr"/>
    </row>
    <row r="468" ht="20" customHeight="1">
      <c r="A468" s="2" t="inlineStr">
        <is>
          <t>ST467</t>
        </is>
      </c>
      <c r="B468" s="3" t="inlineStr">
        <is>
          <t>Setting Target Exam Scores: How to Distribute Required Marks Across Easy vs Tough Subjects</t>
        </is>
      </c>
      <c r="C468" s="2" t="inlineStr">
        <is>
          <t>Student</t>
        </is>
      </c>
      <c r="D468" s="3" t="inlineStr">
        <is>
          <t>Required Marks</t>
        </is>
      </c>
      <c r="E468" s="2" t="inlineStr">
        <is>
          <t>Planning Guide</t>
        </is>
      </c>
      <c r="F468" s="2" t="inlineStr">
        <is>
          <t>Planning</t>
        </is>
      </c>
      <c r="G468" s="3" t="inlineStr">
        <is>
          <t>how to distribute required marks across subjects</t>
        </is>
      </c>
      <c r="H468" s="3" t="inlineStr">
        <is>
          <t>target score subject allocation, compensating marks between subjects, smart exam goal planning</t>
        </is>
      </c>
      <c r="I468" s="3" t="inlineStr">
        <is>
          <t>Required Marks Calculator</t>
        </is>
      </c>
      <c r="J468" s="3" t="inlineStr">
        <is>
          <t>/student/required-marks</t>
        </is>
      </c>
      <c r="K468" s="3" t="inlineStr">
        <is>
          <t>Strategic compensation framework: rather than aiming for 80% uniformly, target 90% in high-confidence subjects and 70% in difficult subjects to reach an 80% aggregate.</t>
        </is>
      </c>
      <c r="L468" s="2" t="inlineStr">
        <is>
          <t>YES</t>
        </is>
      </c>
      <c r="M468" s="2" t="inlineStr">
        <is>
          <t>HIGH</t>
        </is>
      </c>
      <c r="N468" s="2" t="inlineStr">
        <is>
          <t>READY</t>
        </is>
      </c>
      <c r="O468" s="3" t="inlineStr"/>
      <c r="P468" s="3" t="inlineStr"/>
      <c r="Q468" s="3" t="inlineStr"/>
      <c r="R468" s="3" t="inlineStr"/>
    </row>
    <row r="469" ht="20" customHeight="1">
      <c r="A469" s="4" t="inlineStr">
        <is>
          <t>ST468</t>
        </is>
      </c>
      <c r="B469" s="5" t="inlineStr">
        <is>
          <t>How Many Marks Are Needed to Pass Separate Theory and Practical Passing Criteria?</t>
        </is>
      </c>
      <c r="C469" s="4" t="inlineStr">
        <is>
          <t>Student</t>
        </is>
      </c>
      <c r="D469" s="5" t="inlineStr">
        <is>
          <t>Required Marks</t>
        </is>
      </c>
      <c r="E469" s="4" t="inlineStr">
        <is>
          <t>Guide</t>
        </is>
      </c>
      <c r="F469" s="4" t="inlineStr">
        <is>
          <t>Reference</t>
        </is>
      </c>
      <c r="G469" s="5" t="inlineStr">
        <is>
          <t>separate passing marks in theory and practical</t>
        </is>
      </c>
      <c r="H469" s="5" t="inlineStr">
        <is>
          <t>passing criteria cbse board, practical pass marks 20 out of 30, theory 23 out of 70 passing</t>
        </is>
      </c>
      <c r="I469" s="5" t="inlineStr">
        <is>
          <t>Required Marks Calculator</t>
        </is>
      </c>
      <c r="J469" s="5" t="inlineStr">
        <is>
          <t>/student/required-marks</t>
        </is>
      </c>
      <c r="K469" s="5" t="inlineStr">
        <is>
          <t>Detail board-specific rules: e.g., CBSE requires 23/70 in theory and 10/30 in practicals independently, preventing high practical marks from masking failing theory.</t>
        </is>
      </c>
      <c r="L469" s="4" t="inlineStr">
        <is>
          <t>YES</t>
        </is>
      </c>
      <c r="M469" s="4" t="inlineStr">
        <is>
          <t>HIGH</t>
        </is>
      </c>
      <c r="N469" s="4" t="inlineStr">
        <is>
          <t>READY</t>
        </is>
      </c>
      <c r="O469" s="5" t="inlineStr"/>
      <c r="P469" s="5" t="inlineStr"/>
      <c r="Q469" s="5" t="inlineStr"/>
      <c r="R469" s="5" t="inlineStr"/>
    </row>
    <row r="470" ht="20" customHeight="1">
      <c r="A470" s="2" t="inlineStr">
        <is>
          <t>ST469</t>
        </is>
      </c>
      <c r="B470" s="3" t="inlineStr">
        <is>
          <t>Targeting a Distinction (75%+): How to Calculate Your Safety Margin in Final Exams</t>
        </is>
      </c>
      <c r="C470" s="2" t="inlineStr">
        <is>
          <t>Student</t>
        </is>
      </c>
      <c r="D470" s="3" t="inlineStr">
        <is>
          <t>Required Marks</t>
        </is>
      </c>
      <c r="E470" s="2" t="inlineStr">
        <is>
          <t>Planning Guide</t>
        </is>
      </c>
      <c r="F470" s="2" t="inlineStr">
        <is>
          <t>Planning</t>
        </is>
      </c>
      <c r="G470" s="3" t="inlineStr">
        <is>
          <t>marks needed for distinction in university</t>
        </is>
      </c>
      <c r="H470" s="3" t="inlineStr">
        <is>
          <t>calculating distinction score, safety buffer marks final exam, reaching 75 aggregate degree</t>
        </is>
      </c>
      <c r="I470" s="3" t="inlineStr">
        <is>
          <t>Required Marks Calculator</t>
        </is>
      </c>
      <c r="J470" s="3" t="inlineStr">
        <is>
          <t>/student/required-marks</t>
        </is>
      </c>
      <c r="K470" s="3" t="inlineStr">
        <is>
          <t>How to calculate the 'cushion score': determining the minimum tolerable final score that keeps aggregate strictly at or above 75.0%.</t>
        </is>
      </c>
      <c r="L470" s="2" t="inlineStr">
        <is>
          <t>YES</t>
        </is>
      </c>
      <c r="M470" s="2" t="inlineStr">
        <is>
          <t>HIGH</t>
        </is>
      </c>
      <c r="N470" s="2" t="inlineStr">
        <is>
          <t>READY</t>
        </is>
      </c>
      <c r="O470" s="3" t="inlineStr"/>
      <c r="P470" s="3" t="inlineStr"/>
      <c r="Q470" s="3" t="inlineStr"/>
      <c r="R470" s="3" t="inlineStr"/>
    </row>
    <row r="471" ht="20" customHeight="1">
      <c r="A471" s="4" t="inlineStr">
        <is>
          <t>ST470</t>
        </is>
      </c>
      <c r="B471" s="5" t="inlineStr">
        <is>
          <t>How to Calculate Passing Score When University Scales Final Exam Marks on a Curve</t>
        </is>
      </c>
      <c r="C471" s="4" t="inlineStr">
        <is>
          <t>Student</t>
        </is>
      </c>
      <c r="D471" s="5" t="inlineStr">
        <is>
          <t>Required Marks</t>
        </is>
      </c>
      <c r="E471" s="4" t="inlineStr">
        <is>
          <t>Explanation</t>
        </is>
      </c>
      <c r="F471" s="4" t="inlineStr">
        <is>
          <t>Educational</t>
        </is>
      </c>
      <c r="G471" s="5" t="inlineStr">
        <is>
          <t>passing marks on a bell curve</t>
        </is>
      </c>
      <c r="H471" s="5" t="inlineStr">
        <is>
          <t>relative grading passing marks, curve grading minimum passing threshold, how curve affects required marks</t>
        </is>
      </c>
      <c r="I471" s="5" t="inlineStr">
        <is>
          <t>Required Marks Calculator</t>
        </is>
      </c>
      <c r="J471" s="5" t="inlineStr">
        <is>
          <t>/student/required-marks</t>
        </is>
      </c>
      <c r="K471" s="5" t="inlineStr">
        <is>
          <t>Explain dynamic passing thresholds under relative grading, where passing is defined as $\mu - 2\sigma$ or a fixed percentile rather than an absolute 40 marks.</t>
        </is>
      </c>
      <c r="L471" s="4" t="inlineStr">
        <is>
          <t>YES</t>
        </is>
      </c>
      <c r="M471" s="4" t="inlineStr">
        <is>
          <t>MEDIUM</t>
        </is>
      </c>
      <c r="N471" s="4" t="inlineStr">
        <is>
          <t>READY</t>
        </is>
      </c>
      <c r="O471" s="5" t="inlineStr"/>
      <c r="P471" s="5" t="inlineStr"/>
      <c r="Q471" s="5" t="inlineStr"/>
      <c r="R471" s="5" t="inlineStr"/>
    </row>
    <row r="472" ht="20" customHeight="1">
      <c r="A472" s="2" t="inlineStr">
        <is>
          <t>ST471</t>
        </is>
      </c>
      <c r="B472" s="3" t="inlineStr">
        <is>
          <t>How to Calculate Required Score in Class 12 Boards to Meet JEE 75% Criteria</t>
        </is>
      </c>
      <c r="C472" s="2" t="inlineStr">
        <is>
          <t>Student</t>
        </is>
      </c>
      <c r="D472" s="3" t="inlineStr">
        <is>
          <t>Required Marks</t>
        </is>
      </c>
      <c r="E472" s="2" t="inlineStr">
        <is>
          <t>Planning Guide</t>
        </is>
      </c>
      <c r="F472" s="2" t="inlineStr">
        <is>
          <t>Planning</t>
        </is>
      </c>
      <c r="G472" s="3" t="inlineStr">
        <is>
          <t>marks needed in 12th for jee 75 criteria</t>
        </is>
      </c>
      <c r="H472" s="3" t="inlineStr">
        <is>
          <t>75 percent in 12th boards marks needed, total marks out of 500 for jee eligibility, board target score for jee</t>
        </is>
      </c>
      <c r="I472" s="3" t="inlineStr">
        <is>
          <t>Required Marks Calculator</t>
        </is>
      </c>
      <c r="J472" s="3" t="inlineStr">
        <is>
          <t>/student/required-marks</t>
        </is>
      </c>
      <c r="K472" s="3" t="inlineStr">
        <is>
          <t>Fast reference: exactly 375 marks out of 500 across 5 eligible subjects. Show how to budget marks across English, Physics, Chemistry, Math, and 5th subject.</t>
        </is>
      </c>
      <c r="L472" s="2" t="inlineStr">
        <is>
          <t>YES</t>
        </is>
      </c>
      <c r="M472" s="2" t="inlineStr">
        <is>
          <t>HIGH</t>
        </is>
      </c>
      <c r="N472" s="2" t="inlineStr">
        <is>
          <t>READY</t>
        </is>
      </c>
      <c r="O472" s="3" t="inlineStr"/>
      <c r="P472" s="3" t="inlineStr"/>
      <c r="Q472" s="3" t="inlineStr"/>
      <c r="R472" s="3" t="inlineStr"/>
    </row>
    <row r="473" ht="20" customHeight="1">
      <c r="A473" s="4" t="inlineStr">
        <is>
          <t>ST472</t>
        </is>
      </c>
      <c r="B473" s="5" t="inlineStr">
        <is>
          <t>How to Calculate Required Score for NEET 50% PCB Aggregate Eligibility</t>
        </is>
      </c>
      <c r="C473" s="4" t="inlineStr">
        <is>
          <t>Student</t>
        </is>
      </c>
      <c r="D473" s="5" t="inlineStr">
        <is>
          <t>Required Marks</t>
        </is>
      </c>
      <c r="E473" s="4" t="inlineStr">
        <is>
          <t>Guide</t>
        </is>
      </c>
      <c r="F473" s="4" t="inlineStr">
        <is>
          <t>Reference</t>
        </is>
      </c>
      <c r="G473" s="5" t="inlineStr">
        <is>
          <t>marks needed in pcb for neet eligibility</t>
        </is>
      </c>
      <c r="H473" s="5" t="inlineStr">
        <is>
          <t>neet qualifying marks 12th board, 50 percent pcb aggregate formula, category pcb marks for neet</t>
        </is>
      </c>
      <c r="I473" s="5" t="inlineStr">
        <is>
          <t>Required Marks Calculator</t>
        </is>
      </c>
      <c r="J473" s="5" t="inlineStr">
        <is>
          <t>/student/required-marks</t>
        </is>
      </c>
      <c r="K473" s="5" t="inlineStr">
        <is>
          <t>Explain NMC criteria: General category requires 150/300 marks (50%) aggregate in Physics, Chemistry, Biology combined (120/300 or 40% for SC/ST/OBC).</t>
        </is>
      </c>
      <c r="L473" s="4" t="inlineStr">
        <is>
          <t>YES</t>
        </is>
      </c>
      <c r="M473" s="4" t="inlineStr">
        <is>
          <t>HIGH</t>
        </is>
      </c>
      <c r="N473" s="4" t="inlineStr">
        <is>
          <t>READY</t>
        </is>
      </c>
      <c r="O473" s="5" t="inlineStr"/>
      <c r="P473" s="5" t="inlineStr"/>
      <c r="Q473" s="5" t="inlineStr"/>
      <c r="R473" s="5" t="inlineStr"/>
    </row>
    <row r="474" ht="20" customHeight="1">
      <c r="A474" s="2" t="inlineStr">
        <is>
          <t>ST473</t>
        </is>
      </c>
      <c r="B474" s="3" t="inlineStr">
        <is>
          <t>How to Calculate Required Marks to Raise Your Degree Percentage from 58% to 60%</t>
        </is>
      </c>
      <c r="C474" s="2" t="inlineStr">
        <is>
          <t>Student</t>
        </is>
      </c>
      <c r="D474" s="3" t="inlineStr">
        <is>
          <t>Required Marks</t>
        </is>
      </c>
      <c r="E474" s="2" t="inlineStr">
        <is>
          <t>Planning Guide</t>
        </is>
      </c>
      <c r="F474" s="2" t="inlineStr">
        <is>
          <t>Planning</t>
        </is>
      </c>
      <c r="G474" s="3" t="inlineStr">
        <is>
          <t>how to increase aggregate from 58 to 60</t>
        </is>
      </c>
      <c r="H474" s="3" t="inlineStr">
        <is>
          <t>reaching 60 percent first class, marks needed in last semester for first division, degree improvement calculation</t>
        </is>
      </c>
      <c r="I474" s="3" t="inlineStr">
        <is>
          <t>Required Marks Calculator</t>
        </is>
      </c>
      <c r="J474" s="3" t="inlineStr">
        <is>
          <t>/student/required-marks</t>
        </is>
      </c>
      <c r="K474" s="3" t="inlineStr">
        <is>
          <t>Mathematical case study showing the exact final-year score required to leap from Second Division (58%) to First Division (60%) for government job eligibility.</t>
        </is>
      </c>
      <c r="L474" s="2" t="inlineStr">
        <is>
          <t>YES</t>
        </is>
      </c>
      <c r="M474" s="2" t="inlineStr">
        <is>
          <t>HIGH</t>
        </is>
      </c>
      <c r="N474" s="2" t="inlineStr">
        <is>
          <t>READY</t>
        </is>
      </c>
      <c r="O474" s="3" t="inlineStr"/>
      <c r="P474" s="3" t="inlineStr"/>
      <c r="Q474" s="3" t="inlineStr"/>
      <c r="R474" s="3" t="inlineStr"/>
    </row>
    <row r="475" ht="20" customHeight="1">
      <c r="A475" s="4" t="inlineStr">
        <is>
          <t>ST474</t>
        </is>
      </c>
      <c r="B475" s="5" t="inlineStr">
        <is>
          <t>How to Budget Marks in Semester 8 to Secure First Class with Distinction</t>
        </is>
      </c>
      <c r="C475" s="4" t="inlineStr">
        <is>
          <t>Student</t>
        </is>
      </c>
      <c r="D475" s="5" t="inlineStr">
        <is>
          <t>Required Marks</t>
        </is>
      </c>
      <c r="E475" s="4" t="inlineStr">
        <is>
          <t>Planning Guide</t>
        </is>
      </c>
      <c r="F475" s="4" t="inlineStr">
        <is>
          <t>Planning</t>
        </is>
      </c>
      <c r="G475" s="5" t="inlineStr">
        <is>
          <t>final semester marks needed for distinction</t>
        </is>
      </c>
      <c r="H475" s="5" t="inlineStr">
        <is>
          <t>distinction planning semester 8, btech distinction required marks, final semester academic goal</t>
        </is>
      </c>
      <c r="I475" s="5" t="inlineStr">
        <is>
          <t>Required Marks Calculator</t>
        </is>
      </c>
      <c r="J475" s="5" t="inlineStr">
        <is>
          <t>/student/required-marks</t>
        </is>
      </c>
      <c r="K475" s="5" t="inlineStr">
        <is>
          <t>Step-by-step projection taking 7 completed semesters to find exact marks required in semester 8 project and theory papers.</t>
        </is>
      </c>
      <c r="L475" s="4" t="inlineStr">
        <is>
          <t>YES</t>
        </is>
      </c>
      <c r="M475" s="4" t="inlineStr">
        <is>
          <t>MEDIUM</t>
        </is>
      </c>
      <c r="N475" s="4" t="inlineStr">
        <is>
          <t>READY</t>
        </is>
      </c>
      <c r="O475" s="5" t="inlineStr"/>
      <c r="P475" s="5" t="inlineStr"/>
      <c r="Q475" s="5" t="inlineStr"/>
      <c r="R475" s="5" t="inlineStr"/>
    </row>
    <row r="476" ht="20" customHeight="1">
      <c r="A476" s="2" t="inlineStr">
        <is>
          <t>ST475</t>
        </is>
      </c>
      <c r="B476" s="3" t="inlineStr">
        <is>
          <t>Can You Pass a Course If You Got Zero in Internal Assessment?</t>
        </is>
      </c>
      <c r="C476" s="2" t="inlineStr">
        <is>
          <t>Student</t>
        </is>
      </c>
      <c r="D476" s="3" t="inlineStr">
        <is>
          <t>Required Marks</t>
        </is>
      </c>
      <c r="E476" s="2" t="inlineStr">
        <is>
          <t>Explanation</t>
        </is>
      </c>
      <c r="F476" s="2" t="inlineStr">
        <is>
          <t>Educational</t>
        </is>
      </c>
      <c r="G476" s="3" t="inlineStr">
        <is>
          <t>can you pass with zero internal marks</t>
        </is>
      </c>
      <c r="H476" s="3" t="inlineStr">
        <is>
          <t>zero internal assessment pass in final, university rules internal zero, passing without internals</t>
        </is>
      </c>
      <c r="I476" s="3" t="inlineStr">
        <is>
          <t>Required Marks Calculator</t>
        </is>
      </c>
      <c r="J476" s="3" t="inlineStr">
        <is>
          <t>/student/required-marks</t>
        </is>
      </c>
      <c r="K476" s="3" t="inlineStr">
        <is>
          <t>Examine university regulations: some allow passing if external theory score $\ge 40$ or $50$, while others enforce a mandatory 40% minimum in internals.</t>
        </is>
      </c>
      <c r="L476" s="2" t="inlineStr">
        <is>
          <t>YES</t>
        </is>
      </c>
      <c r="M476" s="2" t="inlineStr">
        <is>
          <t>HIGH</t>
        </is>
      </c>
      <c r="N476" s="2" t="inlineStr">
        <is>
          <t>READY</t>
        </is>
      </c>
      <c r="O476" s="3" t="inlineStr"/>
      <c r="P476" s="3" t="inlineStr"/>
      <c r="Q476" s="3" t="inlineStr"/>
      <c r="R476" s="3" t="inlineStr"/>
    </row>
    <row r="477" ht="20" customHeight="1">
      <c r="A477" s="4" t="inlineStr">
        <is>
          <t>ST476</t>
        </is>
      </c>
      <c r="B477" s="5" t="inlineStr">
        <is>
          <t>How to Calculate Required Marks on an 80-Mark Written Paper When Internals Are 20</t>
        </is>
      </c>
      <c r="C477" s="4" t="inlineStr">
        <is>
          <t>Student</t>
        </is>
      </c>
      <c r="D477" s="5" t="inlineStr">
        <is>
          <t>Required Marks</t>
        </is>
      </c>
      <c r="E477" s="4" t="inlineStr">
        <is>
          <t>How-To</t>
        </is>
      </c>
      <c r="F477" s="4" t="inlineStr">
        <is>
          <t>How-To</t>
        </is>
      </c>
      <c r="G477" s="5" t="inlineStr">
        <is>
          <t>how to calculate marks needed out of 80</t>
        </is>
      </c>
      <c r="H477" s="5" t="inlineStr">
        <is>
          <t>passing marks out of 80, 80 20 pattern marks calculation, required score written paper</t>
        </is>
      </c>
      <c r="I477" s="5" t="inlineStr">
        <is>
          <t>Required Marks Calculator</t>
        </is>
      </c>
      <c r="J477" s="5" t="inlineStr">
        <is>
          <t>/student/required-marks</t>
        </is>
      </c>
      <c r="K477" s="5" t="inlineStr">
        <is>
          <t>Provide exact passing marks tables: 28 out of 80 (35% threshold) or 32 out of 80 (40% threshold), factoring in internal assessment scores.</t>
        </is>
      </c>
      <c r="L477" s="4" t="inlineStr">
        <is>
          <t>YES</t>
        </is>
      </c>
      <c r="M477" s="4" t="inlineStr">
        <is>
          <t>HIGH</t>
        </is>
      </c>
      <c r="N477" s="4" t="inlineStr">
        <is>
          <t>READY</t>
        </is>
      </c>
      <c r="O477" s="5" t="inlineStr"/>
      <c r="P477" s="5" t="inlineStr"/>
      <c r="Q477" s="5" t="inlineStr"/>
      <c r="R477" s="5" t="inlineStr"/>
    </row>
    <row r="478" ht="20" customHeight="1">
      <c r="A478" s="2" t="inlineStr">
        <is>
          <t>ST477</t>
        </is>
      </c>
      <c r="B478" s="3" t="inlineStr">
        <is>
          <t>How to Calculate Required Marks on a 70-Mark Written Paper When Practicals Are 30</t>
        </is>
      </c>
      <c r="C478" s="2" t="inlineStr">
        <is>
          <t>Student</t>
        </is>
      </c>
      <c r="D478" s="3" t="inlineStr">
        <is>
          <t>Required Marks</t>
        </is>
      </c>
      <c r="E478" s="2" t="inlineStr">
        <is>
          <t>How-To</t>
        </is>
      </c>
      <c r="F478" s="2" t="inlineStr">
        <is>
          <t>How-To</t>
        </is>
      </c>
      <c r="G478" s="3" t="inlineStr">
        <is>
          <t>how to calculate marks needed out of 70</t>
        </is>
      </c>
      <c r="H478" s="3" t="inlineStr">
        <is>
          <t>passing marks out of 70, 70 30 marks pattern, required score in 70 mark theory</t>
        </is>
      </c>
      <c r="I478" s="3" t="inlineStr">
        <is>
          <t>Required Marks Calculator</t>
        </is>
      </c>
      <c r="J478" s="3" t="inlineStr">
        <is>
          <t>/student/required-marks</t>
        </is>
      </c>
      <c r="K478" s="3" t="inlineStr">
        <is>
          <t>Calculate passing scores: 23 out of 70 (33% CBSE rule) or 28 out of 70 (40% university rule), and computing aggregate target percentages.</t>
        </is>
      </c>
      <c r="L478" s="2" t="inlineStr">
        <is>
          <t>YES</t>
        </is>
      </c>
      <c r="M478" s="2" t="inlineStr">
        <is>
          <t>HIGH</t>
        </is>
      </c>
      <c r="N478" s="2" t="inlineStr">
        <is>
          <t>READY</t>
        </is>
      </c>
      <c r="O478" s="3" t="inlineStr"/>
      <c r="P478" s="3" t="inlineStr"/>
      <c r="Q478" s="3" t="inlineStr"/>
      <c r="R478" s="3" t="inlineStr"/>
    </row>
    <row r="479" ht="20" customHeight="1">
      <c r="A479" s="4" t="inlineStr">
        <is>
          <t>ST478</t>
        </is>
      </c>
      <c r="B479" s="5" t="inlineStr">
        <is>
          <t>How to Calculate Required Marks on a 60-Mark Written Paper When Internals Are 40</t>
        </is>
      </c>
      <c r="C479" s="4" t="inlineStr">
        <is>
          <t>Student</t>
        </is>
      </c>
      <c r="D479" s="5" t="inlineStr">
        <is>
          <t>Required Marks</t>
        </is>
      </c>
      <c r="E479" s="4" t="inlineStr">
        <is>
          <t>How-To</t>
        </is>
      </c>
      <c r="F479" s="4" t="inlineStr">
        <is>
          <t>How-To</t>
        </is>
      </c>
      <c r="G479" s="5" t="inlineStr">
        <is>
          <t>how to calculate marks needed out of 60</t>
        </is>
      </c>
      <c r="H479" s="5" t="inlineStr">
        <is>
          <t>60 40 pattern passing marks, marks needed in 60 mark semester exam, college evaluation formula</t>
        </is>
      </c>
      <c r="I479" s="5" t="inlineStr">
        <is>
          <t>Required Marks Calculator</t>
        </is>
      </c>
      <c r="J479" s="5" t="inlineStr">
        <is>
          <t>/student/required-marks</t>
        </is>
      </c>
      <c r="K479" s="5" t="inlineStr">
        <is>
          <t>Analyze the popular 60:40 engineering evaluation scheme: how strong internal scores (35/40) reduce the written exam requirement to basic passing.</t>
        </is>
      </c>
      <c r="L479" s="4" t="inlineStr">
        <is>
          <t>YES</t>
        </is>
      </c>
      <c r="M479" s="4" t="inlineStr">
        <is>
          <t>MEDIUM</t>
        </is>
      </c>
      <c r="N479" s="4" t="inlineStr">
        <is>
          <t>READY</t>
        </is>
      </c>
      <c r="O479" s="5" t="inlineStr"/>
      <c r="P479" s="5" t="inlineStr"/>
      <c r="Q479" s="5" t="inlineStr"/>
      <c r="R479" s="5" t="inlineStr"/>
    </row>
    <row r="480" ht="20" customHeight="1">
      <c r="A480" s="2" t="inlineStr">
        <is>
          <t>ST479</t>
        </is>
      </c>
      <c r="B480" s="3" t="inlineStr">
        <is>
          <t>How to Calculate Marks Needed to Avoid Compartment in Class 10/12</t>
        </is>
      </c>
      <c r="C480" s="2" t="inlineStr">
        <is>
          <t>Student</t>
        </is>
      </c>
      <c r="D480" s="3" t="inlineStr">
        <is>
          <t>Required Marks</t>
        </is>
      </c>
      <c r="E480" s="2" t="inlineStr">
        <is>
          <t>Guide</t>
        </is>
      </c>
      <c r="F480" s="2" t="inlineStr">
        <is>
          <t>Reference</t>
        </is>
      </c>
      <c r="G480" s="3" t="inlineStr">
        <is>
          <t>marks needed to avoid compartment cbse</t>
        </is>
      </c>
      <c r="H480" s="3" t="inlineStr">
        <is>
          <t>cbse compartment criteria, how to avoid failing in one subject, minimum passing score cbse</t>
        </is>
      </c>
      <c r="I480" s="3" t="inlineStr">
        <is>
          <t>Required Marks Calculator</t>
        </is>
      </c>
      <c r="J480" s="3" t="inlineStr">
        <is>
          <t>/student/required-marks</t>
        </is>
      </c>
      <c r="K480" s="3" t="inlineStr">
        <is>
          <t>Detail compartment thresholds: failing in 1 subject in Class 12 or up to 2 subjects in Class 10, and computing the minimum score to pass cleanly.</t>
        </is>
      </c>
      <c r="L480" s="2" t="inlineStr">
        <is>
          <t>YES</t>
        </is>
      </c>
      <c r="M480" s="2" t="inlineStr">
        <is>
          <t>HIGH</t>
        </is>
      </c>
      <c r="N480" s="2" t="inlineStr">
        <is>
          <t>READY</t>
        </is>
      </c>
      <c r="O480" s="3" t="inlineStr"/>
      <c r="P480" s="3" t="inlineStr"/>
      <c r="Q480" s="3" t="inlineStr"/>
      <c r="R480" s="3" t="inlineStr"/>
    </row>
    <row r="481" ht="20" customHeight="1">
      <c r="A481" s="4" t="inlineStr">
        <is>
          <t>ST480</t>
        </is>
      </c>
      <c r="B481" s="5" t="inlineStr">
        <is>
          <t>How to Calculate Marks Needed for Top 1% Inspire Scholarship Eligibility</t>
        </is>
      </c>
      <c r="C481" s="4" t="inlineStr">
        <is>
          <t>Student</t>
        </is>
      </c>
      <c r="D481" s="5" t="inlineStr">
        <is>
          <t>Required Marks</t>
        </is>
      </c>
      <c r="E481" s="4" t="inlineStr">
        <is>
          <t>Guide</t>
        </is>
      </c>
      <c r="F481" s="4" t="inlineStr">
        <is>
          <t>Reference</t>
        </is>
      </c>
      <c r="G481" s="5" t="inlineStr">
        <is>
          <t>marks needed for inspire scholarship</t>
        </is>
      </c>
      <c r="H481" s="5" t="inlineStr">
        <is>
          <t>inspire scholarship 12th cutoff, top 1 percent board cutoff marks, dst inspire eligibility calculation</t>
        </is>
      </c>
      <c r="I481" s="5" t="inlineStr">
        <is>
          <t>Required Marks Calculator</t>
        </is>
      </c>
      <c r="J481" s="5" t="inlineStr">
        <is>
          <t>/student/required-marks</t>
        </is>
      </c>
      <c r="K481" s="5" t="inlineStr">
        <is>
          <t>Examine Department of Science and Technology (DST) INSPIRE cutoff percentiles across Indian state and central boards (typically 94%+ to 97%+).</t>
        </is>
      </c>
      <c r="L481" s="4" t="inlineStr">
        <is>
          <t>YES</t>
        </is>
      </c>
      <c r="M481" s="4" t="inlineStr">
        <is>
          <t>MEDIUM</t>
        </is>
      </c>
      <c r="N481" s="4" t="inlineStr">
        <is>
          <t>READY</t>
        </is>
      </c>
      <c r="O481" s="5" t="inlineStr"/>
      <c r="P481" s="5" t="inlineStr"/>
      <c r="Q481" s="5" t="inlineStr"/>
      <c r="R481" s="5" t="inlineStr"/>
    </row>
    <row r="482" ht="20" customHeight="1">
      <c r="A482" s="2" t="inlineStr">
        <is>
          <t>ST481</t>
        </is>
      </c>
      <c r="B482" s="3" t="inlineStr">
        <is>
          <t>Calculating Required Marks in Optional / Elective Subjects to Compensate Core Deficits</t>
        </is>
      </c>
      <c r="C482" s="2" t="inlineStr">
        <is>
          <t>Student</t>
        </is>
      </c>
      <c r="D482" s="3" t="inlineStr">
        <is>
          <t>Required Marks</t>
        </is>
      </c>
      <c r="E482" s="2" t="inlineStr">
        <is>
          <t>Planning Guide</t>
        </is>
      </c>
      <c r="F482" s="2" t="inlineStr">
        <is>
          <t>Planning</t>
        </is>
      </c>
      <c r="G482" s="3" t="inlineStr">
        <is>
          <t>compensating marks with elective subjects</t>
        </is>
      </c>
      <c r="H482" s="3" t="inlineStr">
        <is>
          <t>elective subject scoring strategy, boosting aggregate with language subjects, marks balancing</t>
        </is>
      </c>
      <c r="I482" s="3" t="inlineStr">
        <is>
          <t>Required Marks Calculator</t>
        </is>
      </c>
      <c r="J482" s="3" t="inlineStr">
        <is>
          <t>/student/required-marks</t>
        </is>
      </c>
      <c r="K482" s="3" t="inlineStr">
        <is>
          <t>How to identify high-scoring elective subjects (Physical Education, Computer Science, Psychology) to offset challenging mathematical and core subjects.</t>
        </is>
      </c>
      <c r="L482" s="2" t="inlineStr">
        <is>
          <t>YES</t>
        </is>
      </c>
      <c r="M482" s="2" t="inlineStr">
        <is>
          <t>MEDIUM</t>
        </is>
      </c>
      <c r="N482" s="2" t="inlineStr">
        <is>
          <t>READY</t>
        </is>
      </c>
      <c r="O482" s="3" t="inlineStr"/>
      <c r="P482" s="3" t="inlineStr"/>
      <c r="Q482" s="3" t="inlineStr"/>
      <c r="R482" s="3" t="inlineStr"/>
    </row>
    <row r="483" ht="20" customHeight="1">
      <c r="A483" s="4" t="inlineStr">
        <is>
          <t>ST482</t>
        </is>
      </c>
      <c r="B483" s="5" t="inlineStr">
        <is>
          <t>How Many Marks Are Needed to Clear Gate Examination Qualifying Cutoff?</t>
        </is>
      </c>
      <c r="C483" s="4" t="inlineStr">
        <is>
          <t>Student</t>
        </is>
      </c>
      <c r="D483" s="5" t="inlineStr">
        <is>
          <t>Required Marks</t>
        </is>
      </c>
      <c r="E483" s="4" t="inlineStr">
        <is>
          <t>Guide</t>
        </is>
      </c>
      <c r="F483" s="4" t="inlineStr">
        <is>
          <t>Reference</t>
        </is>
      </c>
      <c r="G483" s="5" t="inlineStr">
        <is>
          <t>marks needed to qualify gate exam</t>
        </is>
      </c>
      <c r="H483" s="5" t="inlineStr">
        <is>
          <t>gate qualifying marks trend, gate cutoff marks out of 100, safe score to qualify gate</t>
        </is>
      </c>
      <c r="I483" s="5" t="inlineStr">
        <is>
          <t>Required Marks Calculator</t>
        </is>
      </c>
      <c r="J483" s="5" t="inlineStr">
        <is>
          <t>/student/required-marks</t>
        </is>
      </c>
      <c r="K483" s="5" t="inlineStr">
        <is>
          <t>Review branch-wise qualifying cutoffs (typically 25 to 33 marks out of 100) across Mechanical, CSE, ECE, EE, and Civil engineering.</t>
        </is>
      </c>
      <c r="L483" s="4" t="inlineStr">
        <is>
          <t>YES</t>
        </is>
      </c>
      <c r="M483" s="4" t="inlineStr">
        <is>
          <t>HIGH</t>
        </is>
      </c>
      <c r="N483" s="4" t="inlineStr">
        <is>
          <t>READY</t>
        </is>
      </c>
      <c r="O483" s="5" t="inlineStr"/>
      <c r="P483" s="5" t="inlineStr"/>
      <c r="Q483" s="5" t="inlineStr"/>
      <c r="R483" s="5" t="inlineStr"/>
    </row>
    <row r="484" ht="20" customHeight="1">
      <c r="A484" s="2" t="inlineStr">
        <is>
          <t>ST483</t>
        </is>
      </c>
      <c r="B484" s="3" t="inlineStr">
        <is>
          <t>How Many Marks Are Needed to Qualify for CAT 99 Percentile in IIM Admissions?</t>
        </is>
      </c>
      <c r="C484" s="2" t="inlineStr">
        <is>
          <t>Student</t>
        </is>
      </c>
      <c r="D484" s="3" t="inlineStr">
        <is>
          <t>Required Marks</t>
        </is>
      </c>
      <c r="E484" s="2" t="inlineStr">
        <is>
          <t>Guide</t>
        </is>
      </c>
      <c r="F484" s="2" t="inlineStr">
        <is>
          <t>Reference</t>
        </is>
      </c>
      <c r="G484" s="3" t="inlineStr">
        <is>
          <t>marks needed for 99 percentile in cat</t>
        </is>
      </c>
      <c r="H484" s="3" t="inlineStr">
        <is>
          <t>cat raw score vs percentile, marks out of 198 for 99 percentile, iim admission qualifying score</t>
        </is>
      </c>
      <c r="I484" s="3" t="inlineStr">
        <is>
          <t>Required Marks Calculator</t>
        </is>
      </c>
      <c r="J484" s="3" t="inlineStr">
        <is>
          <t>/student/required-marks</t>
        </is>
      </c>
      <c r="K484" s="3" t="inlineStr">
        <is>
          <t>Examine CAT scoring dynamics: how scoring ~75-80 marks out of 198 (around 40% of total marks) comfortably secures a 99+ percentile.</t>
        </is>
      </c>
      <c r="L484" s="2" t="inlineStr">
        <is>
          <t>YES</t>
        </is>
      </c>
      <c r="M484" s="2" t="inlineStr">
        <is>
          <t>HIGH</t>
        </is>
      </c>
      <c r="N484" s="2" t="inlineStr">
        <is>
          <t>READY</t>
        </is>
      </c>
      <c r="O484" s="3" t="inlineStr"/>
      <c r="P484" s="3" t="inlineStr"/>
      <c r="Q484" s="3" t="inlineStr"/>
      <c r="R484" s="3" t="inlineStr"/>
    </row>
    <row r="485" ht="20" customHeight="1">
      <c r="A485" s="4" t="inlineStr">
        <is>
          <t>ST484</t>
        </is>
      </c>
      <c r="B485" s="5" t="inlineStr">
        <is>
          <t>Reverse Exam Planning: How to Break Down Semester Goal into Weekly Quiz Targets</t>
        </is>
      </c>
      <c r="C485" s="4" t="inlineStr">
        <is>
          <t>Student</t>
        </is>
      </c>
      <c r="D485" s="5" t="inlineStr">
        <is>
          <t>Required Marks</t>
        </is>
      </c>
      <c r="E485" s="4" t="inlineStr">
        <is>
          <t>Planning Guide</t>
        </is>
      </c>
      <c r="F485" s="4" t="inlineStr">
        <is>
          <t>Planning</t>
        </is>
      </c>
      <c r="G485" s="5" t="inlineStr">
        <is>
          <t>reverse exam planning method</t>
        </is>
      </c>
      <c r="H485" s="5" t="inlineStr">
        <is>
          <t>backward goal setting exam, weekly study targets from final goal, semester target breakdown</t>
        </is>
      </c>
      <c r="I485" s="5" t="inlineStr">
        <is>
          <t>Required Marks Calculator</t>
        </is>
      </c>
      <c r="J485" s="5" t="inlineStr">
        <is>
          <t>/student/required-marks</t>
        </is>
      </c>
      <c r="K485" s="5" t="inlineStr">
        <is>
          <t>Actionable guide to backward goal setting: converting an 8.5 CGPA target into specific weekly assignment scores, mid-semester benchmarks, and final goals.</t>
        </is>
      </c>
      <c r="L485" s="4" t="inlineStr">
        <is>
          <t>YES</t>
        </is>
      </c>
      <c r="M485" s="4" t="inlineStr">
        <is>
          <t>HIGH</t>
        </is>
      </c>
      <c r="N485" s="4" t="inlineStr">
        <is>
          <t>READY</t>
        </is>
      </c>
      <c r="O485" s="5" t="inlineStr"/>
      <c r="P485" s="5" t="inlineStr"/>
      <c r="Q485" s="5" t="inlineStr"/>
      <c r="R485" s="5" t="inlineStr"/>
    </row>
    <row r="486" ht="20" customHeight="1">
      <c r="A486" s="2" t="inlineStr">
        <is>
          <t>ST485</t>
        </is>
      </c>
      <c r="B486" s="3" t="inlineStr">
        <is>
          <t>Why Aiming for Exactly the Passing Mark Is a Dangerous Exam Strategy</t>
        </is>
      </c>
      <c r="C486" s="2" t="inlineStr">
        <is>
          <t>Student</t>
        </is>
      </c>
      <c r="D486" s="3" t="inlineStr">
        <is>
          <t>Required Marks</t>
        </is>
      </c>
      <c r="E486" s="2" t="inlineStr">
        <is>
          <t>Explanation</t>
        </is>
      </c>
      <c r="F486" s="2" t="inlineStr">
        <is>
          <t>Educational</t>
        </is>
      </c>
      <c r="G486" s="3" t="inlineStr">
        <is>
          <t>why aiming for passing marks fails</t>
        </is>
      </c>
      <c r="H486" s="3" t="inlineStr">
        <is>
          <t>exam error margin, buffer marks strategy, avoiding failing borderline exams</t>
        </is>
      </c>
      <c r="I486" s="3" t="inlineStr">
        <is>
          <t>Required Marks Calculator</t>
        </is>
      </c>
      <c r="J486" s="3" t="inlineStr">
        <is>
          <t>/student/required-marks</t>
        </is>
      </c>
      <c r="K486" s="3" t="inlineStr">
        <is>
          <t>Explain negative exam variance: unexpected questions, strict grading, or silly mistakes mean aiming for 40 often lands you at 36; always build a 15-mark buffer.</t>
        </is>
      </c>
      <c r="L486" s="2" t="inlineStr">
        <is>
          <t>YES</t>
        </is>
      </c>
      <c r="M486" s="2" t="inlineStr">
        <is>
          <t>HIGH</t>
        </is>
      </c>
      <c r="N486" s="2" t="inlineStr">
        <is>
          <t>READY</t>
        </is>
      </c>
      <c r="O486" s="3" t="inlineStr"/>
      <c r="P486" s="3" t="inlineStr"/>
      <c r="Q486" s="3" t="inlineStr"/>
      <c r="R486" s="3" t="inlineStr"/>
    </row>
    <row r="487" ht="20" customHeight="1">
      <c r="A487" s="4" t="inlineStr">
        <is>
          <t>ST486</t>
        </is>
      </c>
      <c r="B487" s="5" t="inlineStr">
        <is>
          <t>How to Calculate Average Marks Across Multiple Subjects: Simple Arithmetic Mean Guide</t>
        </is>
      </c>
      <c r="C487" s="4" t="inlineStr">
        <is>
          <t>Student</t>
        </is>
      </c>
      <c r="D487" s="5" t="inlineStr">
        <is>
          <t>Average Marks</t>
        </is>
      </c>
      <c r="E487" s="4" t="inlineStr">
        <is>
          <t>Formula Guide</t>
        </is>
      </c>
      <c r="F487" s="4" t="inlineStr">
        <is>
          <t>How-To</t>
        </is>
      </c>
      <c r="G487" s="5" t="inlineStr">
        <is>
          <t>how to calculate average marks</t>
        </is>
      </c>
      <c r="H487" s="5" t="inlineStr">
        <is>
          <t>average marks formula, mean score calculation, calculating subject average marks</t>
        </is>
      </c>
      <c r="I487" s="5" t="inlineStr">
        <is>
          <t>Average Marks Calculator</t>
        </is>
      </c>
      <c r="J487" s="5" t="inlineStr">
        <is>
          <t>/student/average-marks</t>
        </is>
      </c>
      <c r="K487" s="5" t="inlineStr">
        <is>
          <t>Define simple mean: Sum of Marks / Number of Subjects. Walk through 5-subject and 6-subject marksheets with step-by-step mathematical examples.</t>
        </is>
      </c>
      <c r="L487" s="4" t="inlineStr">
        <is>
          <t>YES</t>
        </is>
      </c>
      <c r="M487" s="4" t="inlineStr">
        <is>
          <t>HIGH</t>
        </is>
      </c>
      <c r="N487" s="4" t="inlineStr">
        <is>
          <t>READY</t>
        </is>
      </c>
      <c r="O487" s="5" t="inlineStr"/>
      <c r="P487" s="5" t="inlineStr"/>
      <c r="Q487" s="5" t="inlineStr"/>
      <c r="R487" s="5" t="inlineStr"/>
    </row>
    <row r="488" ht="20" customHeight="1">
      <c r="A488" s="2" t="inlineStr">
        <is>
          <t>ST487</t>
        </is>
      </c>
      <c r="B488" s="3" t="inlineStr">
        <is>
          <t>Weighted Average Marks Formula: How to Calculate Grades with Unequal Weights</t>
        </is>
      </c>
      <c r="C488" s="2" t="inlineStr">
        <is>
          <t>Student</t>
        </is>
      </c>
      <c r="D488" s="3" t="inlineStr">
        <is>
          <t>Average Marks</t>
        </is>
      </c>
      <c r="E488" s="2" t="inlineStr">
        <is>
          <t>Formula Guide</t>
        </is>
      </c>
      <c r="F488" s="2" t="inlineStr">
        <is>
          <t>How-To</t>
        </is>
      </c>
      <c r="G488" s="3" t="inlineStr">
        <is>
          <t>weighted average marks formula</t>
        </is>
      </c>
      <c r="H488" s="3" t="inlineStr">
        <is>
          <t>how to calculate weighted average marks, weighted grade formula, course weight calculation</t>
        </is>
      </c>
      <c r="I488" s="3" t="inlineStr">
        <is>
          <t>Average Marks Calculator</t>
        </is>
      </c>
      <c r="J488" s="3" t="inlineStr">
        <is>
          <t>/student/average-marks</t>
        </is>
      </c>
      <c r="K488" s="3" t="inlineStr">
        <is>
          <t>Formula: Sum(Score_i * Weight_i) / Sum(Weight_i). Show step-by-step how homework (15%), midterms (35%), and finals (50%) combine into an accurate overall score.</t>
        </is>
      </c>
      <c r="L488" s="2" t="inlineStr">
        <is>
          <t>YES</t>
        </is>
      </c>
      <c r="M488" s="2" t="inlineStr">
        <is>
          <t>HIGH</t>
        </is>
      </c>
      <c r="N488" s="2" t="inlineStr">
        <is>
          <t>READY</t>
        </is>
      </c>
      <c r="O488" s="3" t="inlineStr"/>
      <c r="P488" s="3" t="inlineStr"/>
      <c r="Q488" s="3" t="inlineStr"/>
      <c r="R488" s="3" t="inlineStr"/>
    </row>
    <row r="489" ht="20" customHeight="1">
      <c r="A489" s="4" t="inlineStr">
        <is>
          <t>ST488</t>
        </is>
      </c>
      <c r="B489" s="5" t="inlineStr">
        <is>
          <t>Difference Between Simple Average and Weighted Average in Academic Evaluation</t>
        </is>
      </c>
      <c r="C489" s="4" t="inlineStr">
        <is>
          <t>Student</t>
        </is>
      </c>
      <c r="D489" s="5" t="inlineStr">
        <is>
          <t>Average Marks</t>
        </is>
      </c>
      <c r="E489" s="4" t="inlineStr">
        <is>
          <t>Comparison</t>
        </is>
      </c>
      <c r="F489" s="4" t="inlineStr">
        <is>
          <t>Educational</t>
        </is>
      </c>
      <c r="G489" s="5" t="inlineStr">
        <is>
          <t>simple average vs weighted average marks</t>
        </is>
      </c>
      <c r="H489" s="5" t="inlineStr">
        <is>
          <t>why simple average is misleading, weighted mean vs arithmetic mean, grading accuracy</t>
        </is>
      </c>
      <c r="I489" s="5" t="inlineStr">
        <is>
          <t>Average Marks Calculator</t>
        </is>
      </c>
      <c r="J489" s="5" t="inlineStr">
        <is>
          <t>/student/average-marks</t>
        </is>
      </c>
      <c r="K489" s="5" t="inlineStr">
        <is>
          <t>Illustrate with a concrete example where simple average gives 75% but weighted average gives 68% because the student scored poorly on the heavily weighted final exam.</t>
        </is>
      </c>
      <c r="L489" s="4" t="inlineStr">
        <is>
          <t>YES</t>
        </is>
      </c>
      <c r="M489" s="4" t="inlineStr">
        <is>
          <t>HIGH</t>
        </is>
      </c>
      <c r="N489" s="4" t="inlineStr">
        <is>
          <t>READY</t>
        </is>
      </c>
      <c r="O489" s="5" t="inlineStr"/>
      <c r="P489" s="5" t="inlineStr"/>
      <c r="Q489" s="5" t="inlineStr"/>
      <c r="R489" s="5" t="inlineStr"/>
    </row>
    <row r="490" ht="20" customHeight="1">
      <c r="A490" s="2" t="inlineStr">
        <is>
          <t>ST489</t>
        </is>
      </c>
      <c r="B490" s="3" t="inlineStr">
        <is>
          <t>How to Calculate Class Average Marks and Standard Deviation for Exam Grading</t>
        </is>
      </c>
      <c r="C490" s="2" t="inlineStr">
        <is>
          <t>Student</t>
        </is>
      </c>
      <c r="D490" s="3" t="inlineStr">
        <is>
          <t>Average Marks</t>
        </is>
      </c>
      <c r="E490" s="2" t="inlineStr">
        <is>
          <t>Formula Guide</t>
        </is>
      </c>
      <c r="F490" s="2" t="inlineStr">
        <is>
          <t>Educational</t>
        </is>
      </c>
      <c r="G490" s="3" t="inlineStr">
        <is>
          <t>how to calculate class average and standard deviation</t>
        </is>
      </c>
      <c r="H490" s="3" t="inlineStr">
        <is>
          <t>class mean formula, standard deviation in exam grading, test score distribution</t>
        </is>
      </c>
      <c r="I490" s="3" t="inlineStr">
        <is>
          <t>Average Marks Calculator</t>
        </is>
      </c>
      <c r="J490" s="3" t="inlineStr">
        <is>
          <t>/student/average-marks</t>
        </is>
      </c>
      <c r="K490" s="3" t="inlineStr">
        <is>
          <t>Explain mean ($\mu = \sum x / N$) and standard deviation ($\sigma$) to evaluate whether a test was exceptionally difficult or student performance was clustered.</t>
        </is>
      </c>
      <c r="L490" s="2" t="inlineStr">
        <is>
          <t>YES</t>
        </is>
      </c>
      <c r="M490" s="2" t="inlineStr">
        <is>
          <t>MEDIUM</t>
        </is>
      </c>
      <c r="N490" s="2" t="inlineStr">
        <is>
          <t>READY</t>
        </is>
      </c>
      <c r="O490" s="3" t="inlineStr"/>
      <c r="P490" s="3" t="inlineStr"/>
      <c r="Q490" s="3" t="inlineStr"/>
      <c r="R490" s="3" t="inlineStr"/>
    </row>
    <row r="491" ht="20" customHeight="1">
      <c r="A491" s="4" t="inlineStr">
        <is>
          <t>ST490</t>
        </is>
      </c>
      <c r="B491" s="5" t="inlineStr">
        <is>
          <t>How to Calculate Running Average of Marks Throughout a Semester</t>
        </is>
      </c>
      <c r="C491" s="4" t="inlineStr">
        <is>
          <t>Student</t>
        </is>
      </c>
      <c r="D491" s="5" t="inlineStr">
        <is>
          <t>Average Marks</t>
        </is>
      </c>
      <c r="E491" s="4" t="inlineStr">
        <is>
          <t>How-To</t>
        </is>
      </c>
      <c r="F491" s="4" t="inlineStr">
        <is>
          <t>Planning</t>
        </is>
      </c>
      <c r="G491" s="5" t="inlineStr">
        <is>
          <t>how to calculate running average of grades</t>
        </is>
      </c>
      <c r="H491" s="5" t="inlineStr">
        <is>
          <t>continuous grade tracking, updating average after each quiz, cumulative average marks</t>
        </is>
      </c>
      <c r="I491" s="5" t="inlineStr">
        <is>
          <t>Average Marks Calculator</t>
        </is>
      </c>
      <c r="J491" s="5" t="inlineStr">
        <is>
          <t>/student/average-marks</t>
        </is>
      </c>
      <c r="K491" s="5" t="inlineStr">
        <is>
          <t>Guide students through recalculating their current standing after each test to identify performance trajectories early before final examinations.</t>
        </is>
      </c>
      <c r="L491" s="4" t="inlineStr">
        <is>
          <t>YES</t>
        </is>
      </c>
      <c r="M491" s="4" t="inlineStr">
        <is>
          <t>HIGH</t>
        </is>
      </c>
      <c r="N491" s="4" t="inlineStr">
        <is>
          <t>READY</t>
        </is>
      </c>
      <c r="O491" s="5" t="inlineStr"/>
      <c r="P491" s="5" t="inlineStr"/>
      <c r="Q491" s="5" t="inlineStr"/>
      <c r="R491" s="5" t="inlineStr"/>
    </row>
    <row r="492" ht="20" customHeight="1">
      <c r="A492" s="2" t="inlineStr">
        <is>
          <t>ST491</t>
        </is>
      </c>
      <c r="B492" s="3" t="inlineStr">
        <is>
          <t>How an Outlier Score (Zero or 100) Distorts Your Simple Average Marks</t>
        </is>
      </c>
      <c r="C492" s="2" t="inlineStr">
        <is>
          <t>Student</t>
        </is>
      </c>
      <c r="D492" s="3" t="inlineStr">
        <is>
          <t>Average Marks</t>
        </is>
      </c>
      <c r="E492" s="2" t="inlineStr">
        <is>
          <t>Explanation</t>
        </is>
      </c>
      <c r="F492" s="2" t="inlineStr">
        <is>
          <t>Educational</t>
        </is>
      </c>
      <c r="G492" s="3" t="inlineStr">
        <is>
          <t>how outlier affects average marks</t>
        </is>
      </c>
      <c r="H492" s="3" t="inlineStr">
        <is>
          <t>outlier in test scores, median vs mean exam marks, distorted grade average</t>
        </is>
      </c>
      <c r="I492" s="3" t="inlineStr">
        <is>
          <t>Average Marks Calculator</t>
        </is>
      </c>
      <c r="J492" s="3" t="inlineStr">
        <is>
          <t>/student/average-marks</t>
        </is>
      </c>
      <c r="K492" s="3" t="inlineStr">
        <is>
          <t>Demonstrate mathematically why a single missed quiz (0 marks) severely suppresses the arithmetic mean, and why professors sometimes use median or drop lowest score.</t>
        </is>
      </c>
      <c r="L492" s="2" t="inlineStr">
        <is>
          <t>YES</t>
        </is>
      </c>
      <c r="M492" s="2" t="inlineStr">
        <is>
          <t>HIGH</t>
        </is>
      </c>
      <c r="N492" s="2" t="inlineStr">
        <is>
          <t>READY</t>
        </is>
      </c>
      <c r="O492" s="3" t="inlineStr"/>
      <c r="P492" s="3" t="inlineStr"/>
      <c r="Q492" s="3" t="inlineStr"/>
      <c r="R492" s="3" t="inlineStr"/>
    </row>
    <row r="493" ht="20" customHeight="1">
      <c r="A493" s="4" t="inlineStr">
        <is>
          <t>ST492</t>
        </is>
      </c>
      <c r="B493" s="5" t="inlineStr">
        <is>
          <t>Drop the Lowest Score Policy: How Professors Calculate Adjusted Average Marks</t>
        </is>
      </c>
      <c r="C493" s="4" t="inlineStr">
        <is>
          <t>Student</t>
        </is>
      </c>
      <c r="D493" s="5" t="inlineStr">
        <is>
          <t>Average Marks</t>
        </is>
      </c>
      <c r="E493" s="4" t="inlineStr">
        <is>
          <t>How-To</t>
        </is>
      </c>
      <c r="F493" s="4" t="inlineStr">
        <is>
          <t>How-To</t>
        </is>
      </c>
      <c r="G493" s="5" t="inlineStr">
        <is>
          <t>drop lowest score average formula</t>
        </is>
      </c>
      <c r="H493" s="5" t="inlineStr">
        <is>
          <t>how to calculate grade dropping lowest quiz, best 4 of 5 quizzes average, adjusted mean score</t>
        </is>
      </c>
      <c r="I493" s="5" t="inlineStr">
        <is>
          <t>Average Marks Calculator</t>
        </is>
      </c>
      <c r="J493" s="5" t="inlineStr">
        <is>
          <t>/student/average-marks</t>
        </is>
      </c>
      <c r="K493" s="5" t="inlineStr">
        <is>
          <t>Explain the algorithm: sum all scores, subtract the minimum score, and divide by $(N - 1)$. Show worked numerical examples.</t>
        </is>
      </c>
      <c r="L493" s="4" t="inlineStr">
        <is>
          <t>YES</t>
        </is>
      </c>
      <c r="M493" s="4" t="inlineStr">
        <is>
          <t>HIGH</t>
        </is>
      </c>
      <c r="N493" s="4" t="inlineStr">
        <is>
          <t>READY</t>
        </is>
      </c>
      <c r="O493" s="5" t="inlineStr"/>
      <c r="P493" s="5" t="inlineStr"/>
      <c r="Q493" s="5" t="inlineStr"/>
      <c r="R493" s="5" t="inlineStr"/>
    </row>
    <row r="494" ht="20" customHeight="1">
      <c r="A494" s="2" t="inlineStr">
        <is>
          <t>ST493</t>
        </is>
      </c>
      <c r="B494" s="3" t="inlineStr">
        <is>
          <t>How to Calculate Mean, Median, and Mode of Exam Scores for Academic Analysis</t>
        </is>
      </c>
      <c r="C494" s="2" t="inlineStr">
        <is>
          <t>Student</t>
        </is>
      </c>
      <c r="D494" s="3" t="inlineStr">
        <is>
          <t>Average Marks</t>
        </is>
      </c>
      <c r="E494" s="2" t="inlineStr">
        <is>
          <t>Guide</t>
        </is>
      </c>
      <c r="F494" s="2" t="inlineStr">
        <is>
          <t>Educational</t>
        </is>
      </c>
      <c r="G494" s="3" t="inlineStr">
        <is>
          <t>mean median mode exam scores</t>
        </is>
      </c>
      <c r="H494" s="3" t="inlineStr">
        <is>
          <t>central tendency in test evaluation, median score meaning, analyzing class marks</t>
        </is>
      </c>
      <c r="I494" s="3" t="inlineStr">
        <is>
          <t>Average Marks Calculator</t>
        </is>
      </c>
      <c r="J494" s="3" t="inlineStr">
        <is>
          <t>/student/average-marks</t>
        </is>
      </c>
      <c r="K494" s="3" t="inlineStr">
        <is>
          <t>Clear comparative guide: Mean (arithmetic center), Median (50th percentile student), and Mode (most common score), explaining what each reveals about test design.</t>
        </is>
      </c>
      <c r="L494" s="2" t="inlineStr">
        <is>
          <t>YES</t>
        </is>
      </c>
      <c r="M494" s="2" t="inlineStr">
        <is>
          <t>MEDIUM</t>
        </is>
      </c>
      <c r="N494" s="2" t="inlineStr">
        <is>
          <t>READY</t>
        </is>
      </c>
      <c r="O494" s="3" t="inlineStr"/>
      <c r="P494" s="3" t="inlineStr"/>
      <c r="Q494" s="3" t="inlineStr"/>
      <c r="R494" s="3" t="inlineStr"/>
    </row>
    <row r="495" ht="20" customHeight="1">
      <c r="A495" s="4" t="inlineStr">
        <is>
          <t>ST494</t>
        </is>
      </c>
      <c r="B495" s="5" t="inlineStr">
        <is>
          <t>Calculating Weighted Average When Weights Do Not Add Up to 100%</t>
        </is>
      </c>
      <c r="C495" s="4" t="inlineStr">
        <is>
          <t>Student</t>
        </is>
      </c>
      <c r="D495" s="5" t="inlineStr">
        <is>
          <t>Average Marks</t>
        </is>
      </c>
      <c r="E495" s="4" t="inlineStr">
        <is>
          <t>Formula Guide</t>
        </is>
      </c>
      <c r="F495" s="4" t="inlineStr">
        <is>
          <t>How-To</t>
        </is>
      </c>
      <c r="G495" s="5" t="inlineStr">
        <is>
          <t>weighted average when weights dont equal 100</t>
        </is>
      </c>
      <c r="H495" s="5" t="inlineStr">
        <is>
          <t>unscaled weights formula, normalizing weights in grade calculation, weighted mean math</t>
        </is>
      </c>
      <c r="I495" s="5" t="inlineStr">
        <is>
          <t>Average Marks Calculator</t>
        </is>
      </c>
      <c r="J495" s="5" t="inlineStr">
        <is>
          <t>/student/average-marks</t>
        </is>
      </c>
      <c r="K495" s="5" t="inlineStr">
        <is>
          <t>Show how dividing by $\sum w_i$ automatically normalizes weights regardless of whether weights are in percentages, raw points, or decimal ratios.</t>
        </is>
      </c>
      <c r="L495" s="4" t="inlineStr">
        <is>
          <t>YES</t>
        </is>
      </c>
      <c r="M495" s="4" t="inlineStr">
        <is>
          <t>HIGH</t>
        </is>
      </c>
      <c r="N495" s="4" t="inlineStr">
        <is>
          <t>READY</t>
        </is>
      </c>
      <c r="O495" s="5" t="inlineStr"/>
      <c r="P495" s="5" t="inlineStr"/>
      <c r="Q495" s="5" t="inlineStr"/>
      <c r="R495" s="5" t="inlineStr"/>
    </row>
    <row r="496" ht="20" customHeight="1">
      <c r="A496" s="2" t="inlineStr">
        <is>
          <t>ST495</t>
        </is>
      </c>
      <c r="B496" s="3" t="inlineStr">
        <is>
          <t>How to Calculate Average Marks Across Theoretical and Practical Lab Components</t>
        </is>
      </c>
      <c r="C496" s="2" t="inlineStr">
        <is>
          <t>Student</t>
        </is>
      </c>
      <c r="D496" s="3" t="inlineStr">
        <is>
          <t>Average Marks</t>
        </is>
      </c>
      <c r="E496" s="2" t="inlineStr">
        <is>
          <t>How-To</t>
        </is>
      </c>
      <c r="F496" s="2" t="inlineStr">
        <is>
          <t>How-To</t>
        </is>
      </c>
      <c r="G496" s="3" t="inlineStr">
        <is>
          <t>how to average theory and practical marks</t>
        </is>
      </c>
      <c r="H496" s="3" t="inlineStr">
        <is>
          <t>combining theory and lab scores, composite subject average, practical weighting</t>
        </is>
      </c>
      <c r="I496" s="3" t="inlineStr">
        <is>
          <t>Average Marks Calculator</t>
        </is>
      </c>
      <c r="J496" s="3" t="inlineStr">
        <is>
          <t>/student/average-marks</t>
        </is>
      </c>
      <c r="K496" s="3" t="inlineStr">
        <is>
          <t>Walk through university course structures (e.g. 70% theory + 30% lab practical) to compute the consolidated course average accurately.</t>
        </is>
      </c>
      <c r="L496" s="2" t="inlineStr">
        <is>
          <t>YES</t>
        </is>
      </c>
      <c r="M496" s="2" t="inlineStr">
        <is>
          <t>HIGH</t>
        </is>
      </c>
      <c r="N496" s="2" t="inlineStr">
        <is>
          <t>READY</t>
        </is>
      </c>
      <c r="O496" s="3" t="inlineStr"/>
      <c r="P496" s="3" t="inlineStr"/>
      <c r="Q496" s="3" t="inlineStr"/>
      <c r="R496" s="3" t="inlineStr"/>
    </row>
    <row r="497" ht="20" customHeight="1">
      <c r="A497" s="4" t="inlineStr">
        <is>
          <t>ST496</t>
        </is>
      </c>
      <c r="B497" s="5" t="inlineStr">
        <is>
          <t>How to Calculate Subject Group Average (PCM / PCB) for Engineering &amp; Medical Eligibility</t>
        </is>
      </c>
      <c r="C497" s="4" t="inlineStr">
        <is>
          <t>Student</t>
        </is>
      </c>
      <c r="D497" s="5" t="inlineStr">
        <is>
          <t>Average Marks</t>
        </is>
      </c>
      <c r="E497" s="4" t="inlineStr">
        <is>
          <t>How-To</t>
        </is>
      </c>
      <c r="F497" s="4" t="inlineStr">
        <is>
          <t>How-To</t>
        </is>
      </c>
      <c r="G497" s="5" t="inlineStr">
        <is>
          <t>how to calculate pcm average marks</t>
        </is>
      </c>
      <c r="H497" s="5" t="inlineStr">
        <is>
          <t>pcm percentage formula, pcb aggregate marks calculation, science stream group average</t>
        </is>
      </c>
      <c r="I497" s="5" t="inlineStr">
        <is>
          <t>Average Marks Calculator</t>
        </is>
      </c>
      <c r="J497" s="5" t="inlineStr">
        <is>
          <t>/student/average-marks</t>
        </is>
      </c>
      <c r="K497" s="5" t="inlineStr">
        <is>
          <t>Step-by-step instructions on isolating Physics, Chemistry, and Math/Biology marks out of 300 to compute the official group average required for counselling.</t>
        </is>
      </c>
      <c r="L497" s="4" t="inlineStr">
        <is>
          <t>YES</t>
        </is>
      </c>
      <c r="M497" s="4" t="inlineStr">
        <is>
          <t>HIGH</t>
        </is>
      </c>
      <c r="N497" s="4" t="inlineStr">
        <is>
          <t>READY</t>
        </is>
      </c>
      <c r="O497" s="5" t="inlineStr"/>
      <c r="P497" s="5" t="inlineStr"/>
      <c r="Q497" s="5" t="inlineStr"/>
      <c r="R497" s="5" t="inlineStr"/>
    </row>
    <row r="498" ht="20" customHeight="1">
      <c r="A498" s="2" t="inlineStr">
        <is>
          <t>ST497</t>
        </is>
      </c>
      <c r="B498" s="3" t="inlineStr">
        <is>
          <t>Why Grade Point Average (GPA) Is Literally a Weighted Average of Grade Points</t>
        </is>
      </c>
      <c r="C498" s="2" t="inlineStr">
        <is>
          <t>Student</t>
        </is>
      </c>
      <c r="D498" s="3" t="inlineStr">
        <is>
          <t>Average Marks</t>
        </is>
      </c>
      <c r="E498" s="2" t="inlineStr">
        <is>
          <t>Explanation</t>
        </is>
      </c>
      <c r="F498" s="2" t="inlineStr">
        <is>
          <t>Educational</t>
        </is>
      </c>
      <c r="G498" s="3" t="inlineStr">
        <is>
          <t>why gpa is a weighted average</t>
        </is>
      </c>
      <c r="H498" s="3" t="inlineStr">
        <is>
          <t>gpa mathematical proof, credit points as weights, understanding gpa as weighted mean</t>
        </is>
      </c>
      <c r="I498" s="3" t="inlineStr">
        <is>
          <t>Average Marks Calculator</t>
        </is>
      </c>
      <c r="J498" s="3" t="inlineStr">
        <is>
          <t>/student/average-marks</t>
        </is>
      </c>
      <c r="K498" s="3" t="inlineStr">
        <is>
          <t>Prove mathematically that the SGPA formula is structurally identical to the standard weighted mean formula, with course credits serving as weights.</t>
        </is>
      </c>
      <c r="L498" s="2" t="inlineStr">
        <is>
          <t>YES</t>
        </is>
      </c>
      <c r="M498" s="2" t="inlineStr">
        <is>
          <t>HIGH</t>
        </is>
      </c>
      <c r="N498" s="2" t="inlineStr">
        <is>
          <t>READY</t>
        </is>
      </c>
      <c r="O498" s="3" t="inlineStr"/>
      <c r="P498" s="3" t="inlineStr"/>
      <c r="Q498" s="3" t="inlineStr"/>
      <c r="R498" s="3" t="inlineStr"/>
    </row>
    <row r="499" ht="20" customHeight="1">
      <c r="A499" s="4" t="inlineStr">
        <is>
          <t>ST498</t>
        </is>
      </c>
      <c r="B499" s="5" t="inlineStr">
        <is>
          <t>How to Calculate Normalized Average Score Across Multiple Test Batches</t>
        </is>
      </c>
      <c r="C499" s="4" t="inlineStr">
        <is>
          <t>Student</t>
        </is>
      </c>
      <c r="D499" s="5" t="inlineStr">
        <is>
          <t>Average Marks</t>
        </is>
      </c>
      <c r="E499" s="4" t="inlineStr">
        <is>
          <t>Explanation</t>
        </is>
      </c>
      <c r="F499" s="4" t="inlineStr">
        <is>
          <t>Educational</t>
        </is>
      </c>
      <c r="G499" s="5" t="inlineStr">
        <is>
          <t>how to normalize average marks across batches</t>
        </is>
      </c>
      <c r="H499" s="5" t="inlineStr">
        <is>
          <t>batch score normalization, comparing test averages, equalizing difficulty across classes</t>
        </is>
      </c>
      <c r="I499" s="5" t="inlineStr">
        <is>
          <t>Average Marks Calculator</t>
        </is>
      </c>
      <c r="J499" s="5" t="inlineStr">
        <is>
          <t>/student/average-marks</t>
        </is>
      </c>
      <c r="K499" s="5" t="inlineStr">
        <is>
          <t>Explain how institutions normalize marks across different lab or class sections taught by different instructors using z-scores.</t>
        </is>
      </c>
      <c r="L499" s="4" t="inlineStr">
        <is>
          <t>YES</t>
        </is>
      </c>
      <c r="M499" s="4" t="inlineStr">
        <is>
          <t>MEDIUM</t>
        </is>
      </c>
      <c r="N499" s="4" t="inlineStr">
        <is>
          <t>READY</t>
        </is>
      </c>
      <c r="O499" s="5" t="inlineStr"/>
      <c r="P499" s="5" t="inlineStr"/>
      <c r="Q499" s="5" t="inlineStr"/>
      <c r="R499" s="5" t="inlineStr"/>
    </row>
    <row r="500" ht="20" customHeight="1">
      <c r="A500" s="2" t="inlineStr">
        <is>
          <t>ST499</t>
        </is>
      </c>
      <c r="B500" s="3" t="inlineStr">
        <is>
          <t>Calculating Trimmed Mean of Marks: Eliminating the Highest and Lowest Scores</t>
        </is>
      </c>
      <c r="C500" s="2" t="inlineStr">
        <is>
          <t>Student</t>
        </is>
      </c>
      <c r="D500" s="3" t="inlineStr">
        <is>
          <t>Average Marks</t>
        </is>
      </c>
      <c r="E500" s="2" t="inlineStr">
        <is>
          <t>Formula Guide</t>
        </is>
      </c>
      <c r="F500" s="2" t="inlineStr">
        <is>
          <t>Educational</t>
        </is>
      </c>
      <c r="G500" s="3" t="inlineStr">
        <is>
          <t>trimmed mean exam scores</t>
        </is>
      </c>
      <c r="H500" s="3" t="inlineStr">
        <is>
          <t>truncated mean calculation, removing extreme grades, fair average marks calculation</t>
        </is>
      </c>
      <c r="I500" s="3" t="inlineStr">
        <is>
          <t>Average Marks Calculator</t>
        </is>
      </c>
      <c r="J500" s="3" t="inlineStr">
        <is>
          <t>/student/average-marks</t>
        </is>
      </c>
      <c r="K500" s="3" t="inlineStr">
        <is>
          <t>Explain why competitive evaluations sometimes trim top and bottom 5% or 10% to remove grading outliers and compute a robust central tendency.</t>
        </is>
      </c>
      <c r="L500" s="2" t="inlineStr">
        <is>
          <t>YES</t>
        </is>
      </c>
      <c r="M500" s="2" t="inlineStr">
        <is>
          <t>LOW</t>
        </is>
      </c>
      <c r="N500" s="2" t="inlineStr">
        <is>
          <t>READY</t>
        </is>
      </c>
      <c r="O500" s="3" t="inlineStr"/>
      <c r="P500" s="3" t="inlineStr"/>
      <c r="Q500" s="3" t="inlineStr"/>
      <c r="R500" s="3" t="inlineStr"/>
    </row>
    <row r="501" ht="20" customHeight="1">
      <c r="A501" s="4" t="inlineStr">
        <is>
          <t>ST500</t>
        </is>
      </c>
      <c r="B501" s="5" t="inlineStr">
        <is>
          <t>How to Calculate Moving Average Marks to Spot Upward or Downward Study Trends</t>
        </is>
      </c>
      <c r="C501" s="4" t="inlineStr">
        <is>
          <t>Student</t>
        </is>
      </c>
      <c r="D501" s="5" t="inlineStr">
        <is>
          <t>Average Marks</t>
        </is>
      </c>
      <c r="E501" s="4" t="inlineStr">
        <is>
          <t>How-To</t>
        </is>
      </c>
      <c r="F501" s="4" t="inlineStr">
        <is>
          <t>Planning</t>
        </is>
      </c>
      <c r="G501" s="5" t="inlineStr">
        <is>
          <t>moving average test scores</t>
        </is>
      </c>
      <c r="H501" s="5" t="inlineStr">
        <is>
          <t>3 test moving average, tracking study momentum, smoothing exam score volatility</t>
        </is>
      </c>
      <c r="I501" s="5" t="inlineStr">
        <is>
          <t>Average Marks Calculator</t>
        </is>
      </c>
      <c r="J501" s="5" t="inlineStr">
        <is>
          <t>/student/average-marks</t>
        </is>
      </c>
      <c r="K501" s="5" t="inlineStr">
        <is>
          <t>Teach students how to calculate a 3-test rolling moving average to filter out single-test anomalies and track genuine learning progress.</t>
        </is>
      </c>
      <c r="L501" s="4" t="inlineStr">
        <is>
          <t>YES</t>
        </is>
      </c>
      <c r="M501" s="4" t="inlineStr">
        <is>
          <t>MEDIUM</t>
        </is>
      </c>
      <c r="N501" s="4" t="inlineStr">
        <is>
          <t>READY</t>
        </is>
      </c>
      <c r="O501" s="5" t="inlineStr"/>
      <c r="P501" s="5" t="inlineStr"/>
      <c r="Q501" s="5" t="inlineStr"/>
      <c r="R501" s="5" t="inlineStr"/>
    </row>
    <row r="502" ht="20" customHeight="1">
      <c r="A502" s="2" t="inlineStr">
        <is>
          <t>ST501</t>
        </is>
      </c>
      <c r="B502" s="3" t="inlineStr">
        <is>
          <t>How to Calculate Average Marks from Frequency Distribution Tables in Statistics</t>
        </is>
      </c>
      <c r="C502" s="2" t="inlineStr">
        <is>
          <t>Student</t>
        </is>
      </c>
      <c r="D502" s="3" t="inlineStr">
        <is>
          <t>Average Marks</t>
        </is>
      </c>
      <c r="E502" s="2" t="inlineStr">
        <is>
          <t>Formula Guide</t>
        </is>
      </c>
      <c r="F502" s="2" t="inlineStr">
        <is>
          <t>How-To</t>
        </is>
      </c>
      <c r="G502" s="3" t="inlineStr">
        <is>
          <t>average marks from frequency table formula</t>
        </is>
      </c>
      <c r="H502" s="3" t="inlineStr">
        <is>
          <t>mean of grouped data marks, frequency distribution mean calculation, statistics exam marks</t>
        </is>
      </c>
      <c r="I502" s="3" t="inlineStr">
        <is>
          <t>Average Marks Calculator</t>
        </is>
      </c>
      <c r="J502" s="3" t="inlineStr">
        <is>
          <t>/student/average-marks</t>
        </is>
      </c>
      <c r="K502" s="3" t="inlineStr">
        <is>
          <t>Formula: $ar{x} = \sum(f_i \cdot x_i) / \sum f_i$. Provide a complete worked example using score intervals (0-10, 10-20, 20-30, etc.).</t>
        </is>
      </c>
      <c r="L502" s="2" t="inlineStr">
        <is>
          <t>YES</t>
        </is>
      </c>
      <c r="M502" s="2" t="inlineStr">
        <is>
          <t>MEDIUM</t>
        </is>
      </c>
      <c r="N502" s="2" t="inlineStr">
        <is>
          <t>READY</t>
        </is>
      </c>
      <c r="O502" s="3" t="inlineStr"/>
      <c r="P502" s="3" t="inlineStr"/>
      <c r="Q502" s="3" t="inlineStr"/>
      <c r="R502" s="3" t="inlineStr"/>
    </row>
    <row r="503" ht="20" customHeight="1">
      <c r="A503" s="4" t="inlineStr">
        <is>
          <t>ST502</t>
        </is>
      </c>
      <c r="B503" s="5" t="inlineStr">
        <is>
          <t>How to Balance Low Assignment Averages with High Exam Scores</t>
        </is>
      </c>
      <c r="C503" s="4" t="inlineStr">
        <is>
          <t>Student</t>
        </is>
      </c>
      <c r="D503" s="5" t="inlineStr">
        <is>
          <t>Average Marks</t>
        </is>
      </c>
      <c r="E503" s="4" t="inlineStr">
        <is>
          <t>Planning Guide</t>
        </is>
      </c>
      <c r="F503" s="4" t="inlineStr">
        <is>
          <t>Planning</t>
        </is>
      </c>
      <c r="G503" s="5" t="inlineStr">
        <is>
          <t>compensating low assignment marks with exams</t>
        </is>
      </c>
      <c r="H503" s="5" t="inlineStr">
        <is>
          <t>recovering from bad homework grades, weighted grade rescue strategy, final exam target with low coursework</t>
        </is>
      </c>
      <c r="I503" s="5" t="inlineStr">
        <is>
          <t>Average Marks Calculator</t>
        </is>
      </c>
      <c r="J503" s="5" t="inlineStr">
        <is>
          <t>/student/average-marks</t>
        </is>
      </c>
      <c r="K503" s="5" t="inlineStr">
        <is>
          <t>Evaluate how much final exam performance must increase to overcome lost points in continuous coursework evaluations.</t>
        </is>
      </c>
      <c r="L503" s="4" t="inlineStr">
        <is>
          <t>YES</t>
        </is>
      </c>
      <c r="M503" s="4" t="inlineStr">
        <is>
          <t>HIGH</t>
        </is>
      </c>
      <c r="N503" s="4" t="inlineStr">
        <is>
          <t>READY</t>
        </is>
      </c>
      <c r="O503" s="5" t="inlineStr"/>
      <c r="P503" s="5" t="inlineStr"/>
      <c r="Q503" s="5" t="inlineStr"/>
      <c r="R503" s="5" t="inlineStr"/>
    </row>
    <row r="504" ht="20" customHeight="1">
      <c r="A504" s="2" t="inlineStr">
        <is>
          <t>ST503</t>
        </is>
      </c>
      <c r="B504" s="3" t="inlineStr">
        <is>
          <t>Why Arithmetic Mean Fails for Speed and Efficiency: Harmonic Mean in Exams</t>
        </is>
      </c>
      <c r="C504" s="2" t="inlineStr">
        <is>
          <t>Student</t>
        </is>
      </c>
      <c r="D504" s="3" t="inlineStr">
        <is>
          <t>Average Marks</t>
        </is>
      </c>
      <c r="E504" s="2" t="inlineStr">
        <is>
          <t>Explanation</t>
        </is>
      </c>
      <c r="F504" s="2" t="inlineStr">
        <is>
          <t>Educational</t>
        </is>
      </c>
      <c r="G504" s="3" t="inlineStr">
        <is>
          <t>harmonic mean vs arithmetic mean in exam questions</t>
        </is>
      </c>
      <c r="H504" s="3" t="inlineStr">
        <is>
          <t>when to use harmonic mean, speed per question calculation, solving rate average</t>
        </is>
      </c>
      <c r="I504" s="3" t="inlineStr">
        <is>
          <t>Average Marks Calculator</t>
        </is>
      </c>
      <c r="J504" s="3" t="inlineStr">
        <is>
          <t>/student/average-marks</t>
        </is>
      </c>
      <c r="K504" s="3" t="inlineStr">
        <is>
          <t>Explain why calculating average problem-solving speed across different sections requires Harmonic Mean rather than simple arithmetic averaging.</t>
        </is>
      </c>
      <c r="L504" s="2" t="inlineStr">
        <is>
          <t>YES</t>
        </is>
      </c>
      <c r="M504" s="2" t="inlineStr">
        <is>
          <t>LOW</t>
        </is>
      </c>
      <c r="N504" s="2" t="inlineStr">
        <is>
          <t>READY</t>
        </is>
      </c>
      <c r="O504" s="3" t="inlineStr"/>
      <c r="P504" s="3" t="inlineStr"/>
      <c r="Q504" s="3" t="inlineStr"/>
      <c r="R504" s="3" t="inlineStr"/>
    </row>
    <row r="505" ht="20" customHeight="1">
      <c r="A505" s="4" t="inlineStr">
        <is>
          <t>ST504</t>
        </is>
      </c>
      <c r="B505" s="5" t="inlineStr">
        <is>
          <t>How to Calculate Weighted Average Marks for Entrance Tests with Negative Marking</t>
        </is>
      </c>
      <c r="C505" s="4" t="inlineStr">
        <is>
          <t>Student</t>
        </is>
      </c>
      <c r="D505" s="5" t="inlineStr">
        <is>
          <t>Average Marks</t>
        </is>
      </c>
      <c r="E505" s="4" t="inlineStr">
        <is>
          <t>How-To</t>
        </is>
      </c>
      <c r="F505" s="4" t="inlineStr">
        <is>
          <t>How-To</t>
        </is>
      </c>
      <c r="G505" s="5" t="inlineStr">
        <is>
          <t>weighted marks with negative marking</t>
        </is>
      </c>
      <c r="H505" s="5" t="inlineStr">
        <is>
          <t>calculating net average score, entrance exam score weighting, negative mark inclusion</t>
        </is>
      </c>
      <c r="I505" s="5" t="inlineStr">
        <is>
          <t>Average Marks Calculator</t>
        </is>
      </c>
      <c r="J505" s="5" t="inlineStr">
        <is>
          <t>/student/average-marks</t>
        </is>
      </c>
      <c r="K505" s="5" t="inlineStr">
        <is>
          <t>Show how negative scores alter the numerator while total question weights remain positive, demonstrating accurate net average calculations.</t>
        </is>
      </c>
      <c r="L505" s="4" t="inlineStr">
        <is>
          <t>YES</t>
        </is>
      </c>
      <c r="M505" s="4" t="inlineStr">
        <is>
          <t>HIGH</t>
        </is>
      </c>
      <c r="N505" s="4" t="inlineStr">
        <is>
          <t>READY</t>
        </is>
      </c>
      <c r="O505" s="5" t="inlineStr"/>
      <c r="P505" s="5" t="inlineStr"/>
      <c r="Q505" s="5" t="inlineStr"/>
      <c r="R505" s="5" t="inlineStr"/>
    </row>
    <row r="506" ht="20" customHeight="1">
      <c r="A506" s="2" t="inlineStr">
        <is>
          <t>ST505</t>
        </is>
      </c>
      <c r="B506" s="3" t="inlineStr">
        <is>
          <t>How College Departments Calculate Cutoff Benchmark from Top 10% Average Marks</t>
        </is>
      </c>
      <c r="C506" s="2" t="inlineStr">
        <is>
          <t>Student</t>
        </is>
      </c>
      <c r="D506" s="3" t="inlineStr">
        <is>
          <t>Average Marks</t>
        </is>
      </c>
      <c r="E506" s="2" t="inlineStr">
        <is>
          <t>Explanation</t>
        </is>
      </c>
      <c r="F506" s="2" t="inlineStr">
        <is>
          <t>Reference</t>
        </is>
      </c>
      <c r="G506" s="3" t="inlineStr">
        <is>
          <t>top 10 percent average cutoff calculation</t>
        </is>
      </c>
      <c r="H506" s="3" t="inlineStr">
        <is>
          <t>department cutoff benchmark, topper average marks, honors qualifying threshold</t>
        </is>
      </c>
      <c r="I506" s="3" t="inlineStr">
        <is>
          <t>Average Marks Calculator</t>
        </is>
      </c>
      <c r="J506" s="3" t="inlineStr">
        <is>
          <t>/student/average-marks</t>
        </is>
      </c>
      <c r="K506" s="3" t="inlineStr">
        <is>
          <t>Explain how universities calculate the benchmark for distinctions or medals by averaging the top decile of graduating student marks.</t>
        </is>
      </c>
      <c r="L506" s="2" t="inlineStr">
        <is>
          <t>YES</t>
        </is>
      </c>
      <c r="M506" s="2" t="inlineStr">
        <is>
          <t>MEDIUM</t>
        </is>
      </c>
      <c r="N506" s="2" t="inlineStr">
        <is>
          <t>READY</t>
        </is>
      </c>
      <c r="O506" s="3" t="inlineStr"/>
      <c r="P506" s="3" t="inlineStr"/>
      <c r="Q506" s="3" t="inlineStr"/>
      <c r="R506" s="3" t="inlineStr"/>
    </row>
    <row r="507" ht="20" customHeight="1">
      <c r="A507" s="4" t="inlineStr">
        <is>
          <t>ST506</t>
        </is>
      </c>
      <c r="B507" s="5" t="inlineStr">
        <is>
          <t>How to Calculate Average Score When Test Questions Have Different Point Values</t>
        </is>
      </c>
      <c r="C507" s="4" t="inlineStr">
        <is>
          <t>Student</t>
        </is>
      </c>
      <c r="D507" s="5" t="inlineStr">
        <is>
          <t>Average Marks</t>
        </is>
      </c>
      <c r="E507" s="4" t="inlineStr">
        <is>
          <t>How-To</t>
        </is>
      </c>
      <c r="F507" s="4" t="inlineStr">
        <is>
          <t>How-To</t>
        </is>
      </c>
      <c r="G507" s="5" t="inlineStr">
        <is>
          <t>average score unequal question points</t>
        </is>
      </c>
      <c r="H507" s="5" t="inlineStr">
        <is>
          <t>calculating average with 1 2 5 mark questions, test score percentage weighting, point value averaging</t>
        </is>
      </c>
      <c r="I507" s="5" t="inlineStr">
        <is>
          <t>Average Marks Calculator</t>
        </is>
      </c>
      <c r="J507" s="5" t="inlineStr">
        <is>
          <t>/student/average-marks</t>
        </is>
      </c>
      <c r="K507" s="5" t="inlineStr">
        <is>
          <t>Show how to correctly weight 1-mark, 2-mark, and 5-mark subjective questions to determine average accuracy per question type.</t>
        </is>
      </c>
      <c r="L507" s="4" t="inlineStr">
        <is>
          <t>YES</t>
        </is>
      </c>
      <c r="M507" s="4" t="inlineStr">
        <is>
          <t>MEDIUM</t>
        </is>
      </c>
      <c r="N507" s="4" t="inlineStr">
        <is>
          <t>READY</t>
        </is>
      </c>
      <c r="O507" s="5" t="inlineStr"/>
      <c r="P507" s="5" t="inlineStr"/>
      <c r="Q507" s="5" t="inlineStr"/>
      <c r="R507" s="5" t="inlineStr"/>
    </row>
    <row r="508" ht="20" customHeight="1">
      <c r="A508" s="2" t="inlineStr">
        <is>
          <t>ST507</t>
        </is>
      </c>
      <c r="B508" s="3" t="inlineStr">
        <is>
          <t>Understanding the Geometric Mean: When Is It Used in Academic Grading?</t>
        </is>
      </c>
      <c r="C508" s="2" t="inlineStr">
        <is>
          <t>Student</t>
        </is>
      </c>
      <c r="D508" s="3" t="inlineStr">
        <is>
          <t>Average Marks</t>
        </is>
      </c>
      <c r="E508" s="2" t="inlineStr">
        <is>
          <t>Explanation</t>
        </is>
      </c>
      <c r="F508" s="2" t="inlineStr">
        <is>
          <t>Educational</t>
        </is>
      </c>
      <c r="G508" s="3" t="inlineStr">
        <is>
          <t>geometric mean in grading</t>
        </is>
      </c>
      <c r="H508" s="3" t="inlineStr">
        <is>
          <t>when to use geometric mean for marks, multiplicative grading scale, geometric average formula</t>
        </is>
      </c>
      <c r="I508" s="3" t="inlineStr">
        <is>
          <t>Average Marks Calculator</t>
        </is>
      </c>
      <c r="J508" s="3" t="inlineStr">
        <is>
          <t>/student/average-marks</t>
        </is>
      </c>
      <c r="K508" s="3" t="inlineStr">
        <is>
          <t>Explain why geometric mean ($\sqrt[n]{\prod x_i}$) is occasionally used when combining multi-dimensional criteria where scoring zero in any component fails the student.</t>
        </is>
      </c>
      <c r="L508" s="2" t="inlineStr">
        <is>
          <t>YES</t>
        </is>
      </c>
      <c r="M508" s="2" t="inlineStr">
        <is>
          <t>LOW</t>
        </is>
      </c>
      <c r="N508" s="2" t="inlineStr">
        <is>
          <t>READY</t>
        </is>
      </c>
      <c r="O508" s="3" t="inlineStr"/>
      <c r="P508" s="3" t="inlineStr"/>
      <c r="Q508" s="3" t="inlineStr"/>
      <c r="R508" s="3" t="inlineStr"/>
    </row>
    <row r="509" ht="20" customHeight="1">
      <c r="A509" s="4" t="inlineStr">
        <is>
          <t>ST508</t>
        </is>
      </c>
      <c r="B509" s="5" t="inlineStr">
        <is>
          <t>How to Calculate Weighted Average Marks Across Project Milestones</t>
        </is>
      </c>
      <c r="C509" s="4" t="inlineStr">
        <is>
          <t>Student</t>
        </is>
      </c>
      <c r="D509" s="5" t="inlineStr">
        <is>
          <t>Average Marks</t>
        </is>
      </c>
      <c r="E509" s="4" t="inlineStr">
        <is>
          <t>How-To</t>
        </is>
      </c>
      <c r="F509" s="4" t="inlineStr">
        <is>
          <t>How-To</t>
        </is>
      </c>
      <c r="G509" s="5" t="inlineStr">
        <is>
          <t>calculating project milestone marks</t>
        </is>
      </c>
      <c r="H509" s="5" t="inlineStr">
        <is>
          <t>project evaluation weighting, literature review progress viva final report weights, capstone grade calculation</t>
        </is>
      </c>
      <c r="I509" s="5" t="inlineStr">
        <is>
          <t>Average Marks Calculator</t>
        </is>
      </c>
      <c r="J509" s="5" t="inlineStr">
        <is>
          <t>/student/average-marks</t>
        </is>
      </c>
      <c r="K509" s="5" t="inlineStr">
        <is>
          <t>Break down standard capstone project rubrics: Proposal (10%), Literature Review (15%), Midterm Demo (25%), Final Code &amp; Report (35%), Viva (15%).</t>
        </is>
      </c>
      <c r="L509" s="4" t="inlineStr">
        <is>
          <t>YES</t>
        </is>
      </c>
      <c r="M509" s="4" t="inlineStr">
        <is>
          <t>HIGH</t>
        </is>
      </c>
      <c r="N509" s="4" t="inlineStr">
        <is>
          <t>READY</t>
        </is>
      </c>
      <c r="O509" s="5" t="inlineStr"/>
      <c r="P509" s="5" t="inlineStr"/>
      <c r="Q509" s="5" t="inlineStr"/>
      <c r="R509" s="5" t="inlineStr"/>
    </row>
    <row r="510" ht="20" customHeight="1">
      <c r="A510" s="2" t="inlineStr">
        <is>
          <t>ST509</t>
        </is>
      </c>
      <c r="B510" s="3" t="inlineStr">
        <is>
          <t>How to Accurately Estimate End-Semester Aggregate Before Official Declaration</t>
        </is>
      </c>
      <c r="C510" s="2" t="inlineStr">
        <is>
          <t>Student</t>
        </is>
      </c>
      <c r="D510" s="3" t="inlineStr">
        <is>
          <t>Average Marks</t>
        </is>
      </c>
      <c r="E510" s="2" t="inlineStr">
        <is>
          <t>Guide</t>
        </is>
      </c>
      <c r="F510" s="2" t="inlineStr">
        <is>
          <t>How-To</t>
        </is>
      </c>
      <c r="G510" s="3" t="inlineStr">
        <is>
          <t>estimating final semester aggregate marks</t>
        </is>
      </c>
      <c r="H510" s="3" t="inlineStr">
        <is>
          <t>pre result aggregate calculation, projected degree percentage, averaging expected grades</t>
        </is>
      </c>
      <c r="I510" s="3" t="inlineStr">
        <is>
          <t>Average Marks Calculator</t>
        </is>
      </c>
      <c r="J510" s="3" t="inlineStr">
        <is>
          <t>/student/average-marks</t>
        </is>
      </c>
      <c r="K510" s="3" t="inlineStr">
        <is>
          <t>Provide a practical estimation spreadsheet guide combining confirmed internal scores with conservative estimates of written theory exams.</t>
        </is>
      </c>
      <c r="L510" s="2" t="inlineStr">
        <is>
          <t>YES</t>
        </is>
      </c>
      <c r="M510" s="2" t="inlineStr">
        <is>
          <t>HIGH</t>
        </is>
      </c>
      <c r="N510" s="2" t="inlineStr">
        <is>
          <t>READY</t>
        </is>
      </c>
      <c r="O510" s="3" t="inlineStr"/>
      <c r="P510" s="3" t="inlineStr"/>
      <c r="Q510" s="3" t="inlineStr"/>
      <c r="R510" s="3" t="inlineStr"/>
    </row>
    <row r="511" ht="20" customHeight="1">
      <c r="A511" s="4" t="inlineStr">
        <is>
          <t>ST510</t>
        </is>
      </c>
      <c r="B511" s="5" t="inlineStr">
        <is>
          <t>Summary Guide: Formulas for Simple Average, Weighted Mean, and Grade Point Averages</t>
        </is>
      </c>
      <c r="C511" s="4" t="inlineStr">
        <is>
          <t>Student</t>
        </is>
      </c>
      <c r="D511" s="5" t="inlineStr">
        <is>
          <t>Average Marks</t>
        </is>
      </c>
      <c r="E511" s="4" t="inlineStr">
        <is>
          <t>Formula Guide</t>
        </is>
      </c>
      <c r="F511" s="4" t="inlineStr">
        <is>
          <t>Reference</t>
        </is>
      </c>
      <c r="G511" s="5" t="inlineStr">
        <is>
          <t>average marks formulas summary</t>
        </is>
      </c>
      <c r="H511" s="5" t="inlineStr">
        <is>
          <t>all average formulas cheat sheet, arithmetic vs weighted mean formulas, academic averaging rules</t>
        </is>
      </c>
      <c r="I511" s="5" t="inlineStr">
        <is>
          <t>Average Marks Calculator</t>
        </is>
      </c>
      <c r="J511" s="5" t="inlineStr">
        <is>
          <t>/student/average-marks</t>
        </is>
      </c>
      <c r="K511" s="5" t="inlineStr">
        <is>
          <t>Consolidated reference sheet detailing formulas, notation, and calculation examples for simple average, weighted average, and credit point averaging.</t>
        </is>
      </c>
      <c r="L511" s="4" t="inlineStr">
        <is>
          <t>YES</t>
        </is>
      </c>
      <c r="M511" s="4" t="inlineStr">
        <is>
          <t>HIGH</t>
        </is>
      </c>
      <c r="N511" s="4" t="inlineStr">
        <is>
          <t>READY</t>
        </is>
      </c>
      <c r="O511" s="5" t="inlineStr"/>
      <c r="P511" s="5" t="inlineStr"/>
      <c r="Q511" s="5" t="inlineStr"/>
      <c r="R511" s="5" t="inlineStr"/>
    </row>
    <row r="512" ht="20" customHeight="1">
      <c r="A512" s="2" t="inlineStr">
        <is>
          <t>ST511</t>
        </is>
      </c>
      <c r="B512" s="3" t="inlineStr">
        <is>
          <t>How to Calculate Total Available Study Hours Before Your Exams</t>
        </is>
      </c>
      <c r="C512" s="2" t="inlineStr">
        <is>
          <t>Student</t>
        </is>
      </c>
      <c r="D512" s="3" t="inlineStr">
        <is>
          <t>Study Planning</t>
        </is>
      </c>
      <c r="E512" s="2" t="inlineStr">
        <is>
          <t>Formula Guide</t>
        </is>
      </c>
      <c r="F512" s="2" t="inlineStr">
        <is>
          <t>Planning</t>
        </is>
      </c>
      <c r="G512" s="3" t="inlineStr">
        <is>
          <t>how to calculate study hours before exams</t>
        </is>
      </c>
      <c r="H512" s="3" t="inlineStr">
        <is>
          <t>study hours calculator student, exam revision hours formula, daily study time budgeting</t>
        </is>
      </c>
      <c r="I512" s="3" t="inlineStr">
        <is>
          <t>Study Hours Calculator</t>
        </is>
      </c>
      <c r="J512" s="3" t="inlineStr">
        <is>
          <t>/student/study-hours</t>
        </is>
      </c>
      <c r="K512" s="3" t="inlineStr">
        <is>
          <t>Provide mathematical budgeting formula: Available Hours = (Days Left * Daily Free Hours) - Emergency Buffer. Show worked examples for 30, 60, and 90 days.</t>
        </is>
      </c>
      <c r="L512" s="2" t="inlineStr">
        <is>
          <t>YES</t>
        </is>
      </c>
      <c r="M512" s="2" t="inlineStr">
        <is>
          <t>HIGH</t>
        </is>
      </c>
      <c r="N512" s="2" t="inlineStr">
        <is>
          <t>READY</t>
        </is>
      </c>
      <c r="O512" s="3" t="inlineStr"/>
      <c r="P512" s="3" t="inlineStr"/>
      <c r="Q512" s="3" t="inlineStr"/>
      <c r="R512" s="3" t="inlineStr"/>
    </row>
    <row r="513" ht="20" customHeight="1">
      <c r="A513" s="4" t="inlineStr">
        <is>
          <t>ST512</t>
        </is>
      </c>
      <c r="B513" s="5" t="inlineStr">
        <is>
          <t>How Many Hours Should a College Student Study Daily During Semester Exams?</t>
        </is>
      </c>
      <c r="C513" s="4" t="inlineStr">
        <is>
          <t>Student</t>
        </is>
      </c>
      <c r="D513" s="5" t="inlineStr">
        <is>
          <t>Study Planning</t>
        </is>
      </c>
      <c r="E513" s="4" t="inlineStr">
        <is>
          <t>Guide</t>
        </is>
      </c>
      <c r="F513" s="4" t="inlineStr">
        <is>
          <t>Planning</t>
        </is>
      </c>
      <c r="G513" s="5" t="inlineStr">
        <is>
          <t>how many hours to study daily in college</t>
        </is>
      </c>
      <c r="H513" s="5" t="inlineStr">
        <is>
          <t>daily study hours engineering, exam time study schedule, effective study hours college</t>
        </is>
      </c>
      <c r="I513" s="5" t="inlineStr">
        <is>
          <t>Study Hours Calculator</t>
        </is>
      </c>
      <c r="J513" s="5" t="inlineStr">
        <is>
          <t>/student/study-hours</t>
        </is>
      </c>
      <c r="K513" s="5" t="inlineStr">
        <is>
          <t>Analyze realistic cognitive limits: why 6 to 8 focused, deep-work hours outperform 14 hours of passive desk sitting, with study break scheduling.</t>
        </is>
      </c>
      <c r="L513" s="4" t="inlineStr">
        <is>
          <t>YES</t>
        </is>
      </c>
      <c r="M513" s="4" t="inlineStr">
        <is>
          <t>HIGH</t>
        </is>
      </c>
      <c r="N513" s="4" t="inlineStr">
        <is>
          <t>READY</t>
        </is>
      </c>
      <c r="O513" s="5" t="inlineStr"/>
      <c r="P513" s="5" t="inlineStr"/>
      <c r="Q513" s="5" t="inlineStr"/>
      <c r="R513" s="5" t="inlineStr"/>
    </row>
    <row r="514" ht="20" customHeight="1">
      <c r="A514" s="2" t="inlineStr">
        <is>
          <t>ST513</t>
        </is>
      </c>
      <c r="B514" s="3" t="inlineStr">
        <is>
          <t>How to Allocate Daily Study Hours Proportionally Across Easy and Difficult Subjects</t>
        </is>
      </c>
      <c r="C514" s="2" t="inlineStr">
        <is>
          <t>Student</t>
        </is>
      </c>
      <c r="D514" s="3" t="inlineStr">
        <is>
          <t>Study Planning</t>
        </is>
      </c>
      <c r="E514" s="2" t="inlineStr">
        <is>
          <t>Planning Guide</t>
        </is>
      </c>
      <c r="F514" s="2" t="inlineStr">
        <is>
          <t>Planning</t>
        </is>
      </c>
      <c r="G514" s="3" t="inlineStr">
        <is>
          <t>how to divide study hours between subjects</t>
        </is>
      </c>
      <c r="H514" s="3" t="inlineStr">
        <is>
          <t>subject time distribution exam, study hours allocation formula, balancing tough subjects</t>
        </is>
      </c>
      <c r="I514" s="3" t="inlineStr">
        <is>
          <t>Study Hours Calculator</t>
        </is>
      </c>
      <c r="J514" s="3" t="inlineStr">
        <is>
          <t>/student/study-hours</t>
        </is>
      </c>
      <c r="K514" s="3" t="inlineStr">
        <is>
          <t>Introduce credit and difficulty weighting: allocate hours proportional to (Syllabus Size * Difficulty Weight), ensuring weak subjects get adequate time.</t>
        </is>
      </c>
      <c r="L514" s="2" t="inlineStr">
        <is>
          <t>YES</t>
        </is>
      </c>
      <c r="M514" s="2" t="inlineStr">
        <is>
          <t>HIGH</t>
        </is>
      </c>
      <c r="N514" s="2" t="inlineStr">
        <is>
          <t>READY</t>
        </is>
      </c>
      <c r="O514" s="3" t="inlineStr"/>
      <c r="P514" s="3" t="inlineStr"/>
      <c r="Q514" s="3" t="inlineStr"/>
      <c r="R514" s="3" t="inlineStr"/>
    </row>
    <row r="515" ht="20" customHeight="1">
      <c r="A515" s="4" t="inlineStr">
        <is>
          <t>ST514</t>
        </is>
      </c>
      <c r="B515" s="5" t="inlineStr">
        <is>
          <t>The 50/10 Rule: How to Structure Intense Study Blocks for Maximum Retention</t>
        </is>
      </c>
      <c r="C515" s="4" t="inlineStr">
        <is>
          <t>Student</t>
        </is>
      </c>
      <c r="D515" s="5" t="inlineStr">
        <is>
          <t>Study Planning</t>
        </is>
      </c>
      <c r="E515" s="4" t="inlineStr">
        <is>
          <t>Guide</t>
        </is>
      </c>
      <c r="F515" s="4" t="inlineStr">
        <is>
          <t>How-To</t>
        </is>
      </c>
      <c r="G515" s="5" t="inlineStr">
        <is>
          <t>50 10 study rule explained</t>
        </is>
      </c>
      <c r="H515" s="5" t="inlineStr">
        <is>
          <t>pomodoro 50 minute study block, study breaks frequency, maintaining focus study hours</t>
        </is>
      </c>
      <c r="I515" s="5" t="inlineStr">
        <is>
          <t>Study Hours Calculator</t>
        </is>
      </c>
      <c r="J515" s="5" t="inlineStr">
        <is>
          <t>/student/study-hours</t>
        </is>
      </c>
      <c r="K515" s="5" t="inlineStr">
        <is>
          <t>Explain the neuroscience of spaced attention: 50 minutes of deep distraction-free study followed by 10 minutes of active physical rest.</t>
        </is>
      </c>
      <c r="L515" s="4" t="inlineStr">
        <is>
          <t>YES</t>
        </is>
      </c>
      <c r="M515" s="4" t="inlineStr">
        <is>
          <t>MEDIUM</t>
        </is>
      </c>
      <c r="N515" s="4" t="inlineStr">
        <is>
          <t>READY</t>
        </is>
      </c>
      <c r="O515" s="5" t="inlineStr"/>
      <c r="P515" s="5" t="inlineStr"/>
      <c r="Q515" s="5" t="inlineStr"/>
      <c r="R515" s="5" t="inlineStr"/>
    </row>
    <row r="516" ht="20" customHeight="1">
      <c r="A516" s="2" t="inlineStr">
        <is>
          <t>ST515</t>
        </is>
      </c>
      <c r="B516" s="3" t="inlineStr">
        <is>
          <t>How to Budget Revision Hours in the Final 14 Days Before Board Exams</t>
        </is>
      </c>
      <c r="C516" s="2" t="inlineStr">
        <is>
          <t>Student</t>
        </is>
      </c>
      <c r="D516" s="3" t="inlineStr">
        <is>
          <t>Study Planning</t>
        </is>
      </c>
      <c r="E516" s="2" t="inlineStr">
        <is>
          <t>Planning Guide</t>
        </is>
      </c>
      <c r="F516" s="2" t="inlineStr">
        <is>
          <t>Planning</t>
        </is>
      </c>
      <c r="G516" s="3" t="inlineStr">
        <is>
          <t>14 day study timetable for board exams</t>
        </is>
      </c>
      <c r="H516" s="3" t="inlineStr">
        <is>
          <t>last 2 weeks study hours planner, board exam revision schedule, daily hours allocation</t>
        </is>
      </c>
      <c r="I516" s="3" t="inlineStr">
        <is>
          <t>Study Hours Calculator</t>
        </is>
      </c>
      <c r="J516" s="3" t="inlineStr">
        <is>
          <t>/student/study-hours</t>
        </is>
      </c>
      <c r="K516" s="3" t="inlineStr">
        <is>
          <t>Provide a day-by-day study hours budget: allocating 60% of daily time to solving past papers, 30% to formula review, and 10% to error logs.</t>
        </is>
      </c>
      <c r="L516" s="2" t="inlineStr">
        <is>
          <t>YES</t>
        </is>
      </c>
      <c r="M516" s="2" t="inlineStr">
        <is>
          <t>HIGH</t>
        </is>
      </c>
      <c r="N516" s="2" t="inlineStr">
        <is>
          <t>READY</t>
        </is>
      </c>
      <c r="O516" s="3" t="inlineStr"/>
      <c r="P516" s="3" t="inlineStr"/>
      <c r="Q516" s="3" t="inlineStr"/>
      <c r="R516" s="3" t="inlineStr"/>
    </row>
    <row r="517" ht="20" customHeight="1">
      <c r="A517" s="4" t="inlineStr">
        <is>
          <t>ST516</t>
        </is>
      </c>
      <c r="B517" s="5" t="inlineStr">
        <is>
          <t>Study Hours vs Sleep Hours: Why Sacrificing Sleep Reduces Exam Performance</t>
        </is>
      </c>
      <c r="C517" s="4" t="inlineStr">
        <is>
          <t>Student</t>
        </is>
      </c>
      <c r="D517" s="5" t="inlineStr">
        <is>
          <t>Study Planning</t>
        </is>
      </c>
      <c r="E517" s="4" t="inlineStr">
        <is>
          <t>Explanation</t>
        </is>
      </c>
      <c r="F517" s="4" t="inlineStr">
        <is>
          <t>Educational</t>
        </is>
      </c>
      <c r="G517" s="5" t="inlineStr">
        <is>
          <t>sleep vs study hours before exam</t>
        </is>
      </c>
      <c r="H517" s="5" t="inlineStr">
        <is>
          <t>all nighter exam performance, why sleep matters exam memory, cognitive fatigue study hours</t>
        </is>
      </c>
      <c r="I517" s="5" t="inlineStr">
        <is>
          <t>Study Hours Calculator</t>
        </is>
      </c>
      <c r="J517" s="5" t="inlineStr">
        <is>
          <t>/student/study-hours</t>
        </is>
      </c>
      <c r="K517" s="5" t="inlineStr">
        <is>
          <t>Detail the memory consolidation process in REM sleep, proving mathematically that an extra 2 hours of sleep improves recall more than 2 hours of drowsy revision.</t>
        </is>
      </c>
      <c r="L517" s="4" t="inlineStr">
        <is>
          <t>YES</t>
        </is>
      </c>
      <c r="M517" s="4" t="inlineStr">
        <is>
          <t>HIGH</t>
        </is>
      </c>
      <c r="N517" s="4" t="inlineStr">
        <is>
          <t>READY</t>
        </is>
      </c>
      <c r="O517" s="5" t="inlineStr"/>
      <c r="P517" s="5" t="inlineStr"/>
      <c r="Q517" s="5" t="inlineStr"/>
      <c r="R517" s="5" t="inlineStr"/>
    </row>
    <row r="518" ht="20" customHeight="1">
      <c r="A518" s="2" t="inlineStr">
        <is>
          <t>ST517</t>
        </is>
      </c>
      <c r="B518" s="3" t="inlineStr">
        <is>
          <t>How to Calculate Study Deficit: Recovering Lost Preparation Time</t>
        </is>
      </c>
      <c r="C518" s="2" t="inlineStr">
        <is>
          <t>Student</t>
        </is>
      </c>
      <c r="D518" s="3" t="inlineStr">
        <is>
          <t>Study Planning</t>
        </is>
      </c>
      <c r="E518" s="2" t="inlineStr">
        <is>
          <t>How-To</t>
        </is>
      </c>
      <c r="F518" s="2" t="inlineStr">
        <is>
          <t>Planning</t>
        </is>
      </c>
      <c r="G518" s="3" t="inlineStr">
        <is>
          <t>how to calculate study backlog hours</t>
        </is>
      </c>
      <c r="H518" s="3" t="inlineStr">
        <is>
          <t>recovering lost study time, study deficit formula, catch up study timetable</t>
        </is>
      </c>
      <c r="I518" s="3" t="inlineStr">
        <is>
          <t>Study Hours Calculator</t>
        </is>
      </c>
      <c r="J518" s="3" t="inlineStr">
        <is>
          <t>/student/study-hours</t>
        </is>
      </c>
      <c r="K518" s="3" t="inlineStr">
        <is>
          <t>Calculate backlog hours: (Planned Hours - Actual Completed Hours) and distribute the deficit across upcoming weekend catch-up blocks.</t>
        </is>
      </c>
      <c r="L518" s="2" t="inlineStr">
        <is>
          <t>YES</t>
        </is>
      </c>
      <c r="M518" s="2" t="inlineStr">
        <is>
          <t>MEDIUM</t>
        </is>
      </c>
      <c r="N518" s="2" t="inlineStr">
        <is>
          <t>READY</t>
        </is>
      </c>
      <c r="O518" s="3" t="inlineStr"/>
      <c r="P518" s="3" t="inlineStr"/>
      <c r="Q518" s="3" t="inlineStr"/>
      <c r="R518" s="3" t="inlineStr"/>
    </row>
    <row r="519" ht="20" customHeight="1">
      <c r="A519" s="4" t="inlineStr">
        <is>
          <t>ST518</t>
        </is>
      </c>
      <c r="B519" s="5" t="inlineStr">
        <is>
          <t>How Working Students Can Budget 20 Productive Study Hours per Week</t>
        </is>
      </c>
      <c r="C519" s="4" t="inlineStr">
        <is>
          <t>Student</t>
        </is>
      </c>
      <c r="D519" s="5" t="inlineStr">
        <is>
          <t>Study Planning</t>
        </is>
      </c>
      <c r="E519" s="4" t="inlineStr">
        <is>
          <t>Planning Guide</t>
        </is>
      </c>
      <c r="F519" s="4" t="inlineStr">
        <is>
          <t>Planning</t>
        </is>
      </c>
      <c r="G519" s="5" t="inlineStr">
        <is>
          <t>study schedule for working students</t>
        </is>
      </c>
      <c r="H519" s="5" t="inlineStr">
        <is>
          <t>budgeting study hours while working, part time study schedule, weekend study marathon planner</t>
        </is>
      </c>
      <c r="I519" s="5" t="inlineStr">
        <is>
          <t>Study Hours Calculator</t>
        </is>
      </c>
      <c r="J519" s="5" t="inlineStr">
        <is>
          <t>/student/study-hours</t>
        </is>
      </c>
      <c r="K519" s="5" t="inlineStr">
        <is>
          <t>Practical roadmap: 2 hours every weekday morning (10 hrs) + 5 hours on Saturday and Sunday (10 hrs) = 20 consistent weekly hours.</t>
        </is>
      </c>
      <c r="L519" s="4" t="inlineStr">
        <is>
          <t>YES</t>
        </is>
      </c>
      <c r="M519" s="4" t="inlineStr">
        <is>
          <t>HIGH</t>
        </is>
      </c>
      <c r="N519" s="4" t="inlineStr">
        <is>
          <t>READY</t>
        </is>
      </c>
      <c r="O519" s="5" t="inlineStr"/>
      <c r="P519" s="5" t="inlineStr"/>
      <c r="Q519" s="5" t="inlineStr"/>
      <c r="R519" s="5" t="inlineStr"/>
    </row>
    <row r="520" ht="20" customHeight="1">
      <c r="A520" s="2" t="inlineStr">
        <is>
          <t>ST519</t>
        </is>
      </c>
      <c r="B520" s="3" t="inlineStr">
        <is>
          <t>How to Use a Study Hours Calculator to Prevent Pre-Exam Panic</t>
        </is>
      </c>
      <c r="C520" s="2" t="inlineStr">
        <is>
          <t>Student</t>
        </is>
      </c>
      <c r="D520" s="3" t="inlineStr">
        <is>
          <t>Study Planning</t>
        </is>
      </c>
      <c r="E520" s="2" t="inlineStr">
        <is>
          <t>Calculator Guide</t>
        </is>
      </c>
      <c r="F520" s="2" t="inlineStr">
        <is>
          <t>Calculator</t>
        </is>
      </c>
      <c r="G520" s="3" t="inlineStr">
        <is>
          <t>how to use study hours calculator</t>
        </is>
      </c>
      <c r="H520" s="3" t="inlineStr">
        <is>
          <t>exam time budget calculator, study planning tool studenttools, managing exam timetable</t>
        </is>
      </c>
      <c r="I520" s="3" t="inlineStr">
        <is>
          <t>Study Hours Calculator</t>
        </is>
      </c>
      <c r="J520" s="3" t="inlineStr">
        <is>
          <t>/student/study-hours</t>
        </is>
      </c>
      <c r="K520" s="3" t="inlineStr">
        <is>
          <t>Walk students through entering exam dates, deducting school/coaching hours, and obtaining an exact per-subject daily study quota.</t>
        </is>
      </c>
      <c r="L520" s="2" t="inlineStr">
        <is>
          <t>YES</t>
        </is>
      </c>
      <c r="M520" s="2" t="inlineStr">
        <is>
          <t>HIGH</t>
        </is>
      </c>
      <c r="N520" s="2" t="inlineStr">
        <is>
          <t>READY</t>
        </is>
      </c>
      <c r="O520" s="3" t="inlineStr"/>
      <c r="P520" s="3" t="inlineStr"/>
      <c r="Q520" s="3" t="inlineStr"/>
      <c r="R520" s="3" t="inlineStr"/>
    </row>
    <row r="521" ht="20" customHeight="1">
      <c r="A521" s="4" t="inlineStr">
        <is>
          <t>ST520</t>
        </is>
      </c>
      <c r="B521" s="5" t="inlineStr">
        <is>
          <t>Active Recall vs Passive Reading: Maximizing Output per Study Hour</t>
        </is>
      </c>
      <c r="C521" s="4" t="inlineStr">
        <is>
          <t>Student</t>
        </is>
      </c>
      <c r="D521" s="5" t="inlineStr">
        <is>
          <t>Study Planning</t>
        </is>
      </c>
      <c r="E521" s="4" t="inlineStr">
        <is>
          <t>Comparison</t>
        </is>
      </c>
      <c r="F521" s="4" t="inlineStr">
        <is>
          <t>Educational</t>
        </is>
      </c>
      <c r="G521" s="5" t="inlineStr">
        <is>
          <t>active recall vs passive reading study efficiency</t>
        </is>
      </c>
      <c r="H521" s="5" t="inlineStr">
        <is>
          <t>effective study techniques, marks per study hour, retention rate study methods</t>
        </is>
      </c>
      <c r="I521" s="5" t="inlineStr">
        <is>
          <t>Study Hours Calculator</t>
        </is>
      </c>
      <c r="J521" s="5" t="inlineStr">
        <is>
          <t>/student/study-hours</t>
        </is>
      </c>
      <c r="K521" s="5" t="inlineStr">
        <is>
          <t>Contrast testing yourself with flashcards and practice problems vs re-reading textbooks, showing active recall achieves 3x higher retention per hour.</t>
        </is>
      </c>
      <c r="L521" s="4" t="inlineStr">
        <is>
          <t>YES</t>
        </is>
      </c>
      <c r="M521" s="4" t="inlineStr">
        <is>
          <t>HIGH</t>
        </is>
      </c>
      <c r="N521" s="4" t="inlineStr">
        <is>
          <t>READY</t>
        </is>
      </c>
      <c r="O521" s="5" t="inlineStr"/>
      <c r="P521" s="5" t="inlineStr"/>
      <c r="Q521" s="5" t="inlineStr"/>
      <c r="R521" s="5" t="inlineStr"/>
    </row>
    <row r="522" ht="20" customHeight="1">
      <c r="A522" s="2" t="inlineStr">
        <is>
          <t>ST521</t>
        </is>
      </c>
      <c r="B522" s="3" t="inlineStr">
        <is>
          <t>How to Budget Daily Study Hours for Dual Exam Preparation (Boards + Competitive)</t>
        </is>
      </c>
      <c r="C522" s="2" t="inlineStr">
        <is>
          <t>Student</t>
        </is>
      </c>
      <c r="D522" s="3" t="inlineStr">
        <is>
          <t>Study Planning</t>
        </is>
      </c>
      <c r="E522" s="2" t="inlineStr">
        <is>
          <t>Planning Guide</t>
        </is>
      </c>
      <c r="F522" s="2" t="inlineStr">
        <is>
          <t>Planning</t>
        </is>
      </c>
      <c r="G522" s="3" t="inlineStr">
        <is>
          <t>study hours budget boards and jee neet</t>
        </is>
      </c>
      <c r="H522" s="3" t="inlineStr">
        <is>
          <t>dividing hours between boards and entrance, daily schedule dual preparation, study hours management</t>
        </is>
      </c>
      <c r="I522" s="3" t="inlineStr">
        <is>
          <t>Study Hours Calculator</t>
        </is>
      </c>
      <c r="J522" s="3" t="inlineStr">
        <is>
          <t>/student/study-hours</t>
        </is>
      </c>
      <c r="K522" s="3" t="inlineStr">
        <is>
          <t>A balanced daily 9-hour plan: 4 hours dedicated to board subjective writing and NCERT, and 5 hours dedicated to competitive MCQ drills.</t>
        </is>
      </c>
      <c r="L522" s="2" t="inlineStr">
        <is>
          <t>YES</t>
        </is>
      </c>
      <c r="M522" s="2" t="inlineStr">
        <is>
          <t>HIGH</t>
        </is>
      </c>
      <c r="N522" s="2" t="inlineStr">
        <is>
          <t>READY</t>
        </is>
      </c>
      <c r="O522" s="3" t="inlineStr"/>
      <c r="P522" s="3" t="inlineStr"/>
      <c r="Q522" s="3" t="inlineStr"/>
      <c r="R522" s="3" t="inlineStr"/>
    </row>
    <row r="523" ht="20" customHeight="1">
      <c r="A523" s="4" t="inlineStr">
        <is>
          <t>ST522</t>
        </is>
      </c>
      <c r="B523" s="5" t="inlineStr">
        <is>
          <t>The 'Buffer Day' Strategy: Why 6-Day Study Weeks Beat 7-Day Grinds</t>
        </is>
      </c>
      <c r="C523" s="4" t="inlineStr">
        <is>
          <t>Student</t>
        </is>
      </c>
      <c r="D523" s="5" t="inlineStr">
        <is>
          <t>Study Planning</t>
        </is>
      </c>
      <c r="E523" s="4" t="inlineStr">
        <is>
          <t>Guide</t>
        </is>
      </c>
      <c r="F523" s="4" t="inlineStr">
        <is>
          <t>Planning</t>
        </is>
      </c>
      <c r="G523" s="5" t="inlineStr">
        <is>
          <t>buffer day study schedule</t>
        </is>
      </c>
      <c r="H523" s="5" t="inlineStr">
        <is>
          <t>preventing study burnout, scheduled rest day study plan, weekly review buffer</t>
        </is>
      </c>
      <c r="I523" s="5" t="inlineStr">
        <is>
          <t>Study Hours Calculator</t>
        </is>
      </c>
      <c r="J523" s="5" t="inlineStr">
        <is>
          <t>/student/study-hours</t>
        </is>
      </c>
      <c r="K523" s="5" t="inlineStr">
        <is>
          <t>Explain why planning for 6 days and leaving Sunday as an unallocated buffer absorbs unexpected interruptions without derailing preparation.</t>
        </is>
      </c>
      <c r="L523" s="4" t="inlineStr">
        <is>
          <t>YES</t>
        </is>
      </c>
      <c r="M523" s="4" t="inlineStr">
        <is>
          <t>MEDIUM</t>
        </is>
      </c>
      <c r="N523" s="4" t="inlineStr">
        <is>
          <t>READY</t>
        </is>
      </c>
      <c r="O523" s="5" t="inlineStr"/>
      <c r="P523" s="5" t="inlineStr"/>
      <c r="Q523" s="5" t="inlineStr"/>
      <c r="R523" s="5" t="inlineStr"/>
    </row>
    <row r="524" ht="20" customHeight="1">
      <c r="A524" s="2" t="inlineStr">
        <is>
          <t>ST523</t>
        </is>
      </c>
      <c r="B524" s="3" t="inlineStr">
        <is>
          <t>How to Calculate Your Personal Study Velocity (Pages or Questions per Hour)</t>
        </is>
      </c>
      <c r="C524" s="2" t="inlineStr">
        <is>
          <t>Student</t>
        </is>
      </c>
      <c r="D524" s="3" t="inlineStr">
        <is>
          <t>Study Planning</t>
        </is>
      </c>
      <c r="E524" s="2" t="inlineStr">
        <is>
          <t>Formula Guide</t>
        </is>
      </c>
      <c r="F524" s="2" t="inlineStr">
        <is>
          <t>How-To</t>
        </is>
      </c>
      <c r="G524" s="3" t="inlineStr">
        <is>
          <t>how to calculate study velocity</t>
        </is>
      </c>
      <c r="H524" s="3" t="inlineStr">
        <is>
          <t>study speed formula, questions solved per hour, measuring study productivity</t>
        </is>
      </c>
      <c r="I524" s="3" t="inlineStr">
        <is>
          <t>Study Hours Calculator</t>
        </is>
      </c>
      <c r="J524" s="3" t="inlineStr">
        <is>
          <t>/student/study-hours</t>
        </is>
      </c>
      <c r="K524" s="3" t="inlineStr">
        <is>
          <t>Formula: Study Velocity = Units Completed / Hours Invested. Teach students how to benchmark realistic chapter completion times.</t>
        </is>
      </c>
      <c r="L524" s="2" t="inlineStr">
        <is>
          <t>YES</t>
        </is>
      </c>
      <c r="M524" s="2" t="inlineStr">
        <is>
          <t>MEDIUM</t>
        </is>
      </c>
      <c r="N524" s="2" t="inlineStr">
        <is>
          <t>READY</t>
        </is>
      </c>
      <c r="O524" s="3" t="inlineStr"/>
      <c r="P524" s="3" t="inlineStr"/>
      <c r="Q524" s="3" t="inlineStr"/>
      <c r="R524" s="3" t="inlineStr"/>
    </row>
    <row r="525" ht="20" customHeight="1">
      <c r="A525" s="4" t="inlineStr">
        <is>
          <t>ST524</t>
        </is>
      </c>
      <c r="B525" s="5" t="inlineStr">
        <is>
          <t>Morning vs Night Study Hours: What Does Cognitive Science Say?</t>
        </is>
      </c>
      <c r="C525" s="4" t="inlineStr">
        <is>
          <t>Student</t>
        </is>
      </c>
      <c r="D525" s="5" t="inlineStr">
        <is>
          <t>Study Planning</t>
        </is>
      </c>
      <c r="E525" s="4" t="inlineStr">
        <is>
          <t>Comparison</t>
        </is>
      </c>
      <c r="F525" s="4" t="inlineStr">
        <is>
          <t>Informational</t>
        </is>
      </c>
      <c r="G525" s="5" t="inlineStr">
        <is>
          <t>morning vs night study hours</t>
        </is>
      </c>
      <c r="H525" s="5" t="inlineStr">
        <is>
          <t>best time to study, morning study retention vs night, circadian rhythm studying</t>
        </is>
      </c>
      <c r="I525" s="5" t="inlineStr">
        <is>
          <t>Study Hours Calculator</t>
        </is>
      </c>
      <c r="J525" s="5" t="inlineStr">
        <is>
          <t>/student/study-hours</t>
        </is>
      </c>
      <c r="K525" s="5" t="inlineStr">
        <is>
          <t>Examine chronotypes and cortisol levels: analytic problem-solving in morning hours vs creative synthesis and memorization in evening hours.</t>
        </is>
      </c>
      <c r="L525" s="4" t="inlineStr">
        <is>
          <t>YES</t>
        </is>
      </c>
      <c r="M525" s="4" t="inlineStr">
        <is>
          <t>MEDIUM</t>
        </is>
      </c>
      <c r="N525" s="4" t="inlineStr">
        <is>
          <t>READY</t>
        </is>
      </c>
      <c r="O525" s="5" t="inlineStr"/>
      <c r="P525" s="5" t="inlineStr"/>
      <c r="Q525" s="5" t="inlineStr"/>
      <c r="R525" s="5" t="inlineStr"/>
    </row>
    <row r="526" ht="20" customHeight="1">
      <c r="A526" s="2" t="inlineStr">
        <is>
          <t>ST525</t>
        </is>
      </c>
      <c r="B526" s="3" t="inlineStr">
        <is>
          <t>Summary Guide: How to Build a Flexible, High-Yield Semester Study Timetable</t>
        </is>
      </c>
      <c r="C526" s="2" t="inlineStr">
        <is>
          <t>Student</t>
        </is>
      </c>
      <c r="D526" s="3" t="inlineStr">
        <is>
          <t>Study Planning</t>
        </is>
      </c>
      <c r="E526" s="2" t="inlineStr">
        <is>
          <t>Planning Guide</t>
        </is>
      </c>
      <c r="F526" s="2" t="inlineStr">
        <is>
          <t>Planning</t>
        </is>
      </c>
      <c r="G526" s="3" t="inlineStr">
        <is>
          <t>how to build semester study timetable</t>
        </is>
      </c>
      <c r="H526" s="3" t="inlineStr">
        <is>
          <t>weekly study plan template, semester time management, study hours allocation guide</t>
        </is>
      </c>
      <c r="I526" s="3" t="inlineStr">
        <is>
          <t>Study Hours Calculator</t>
        </is>
      </c>
      <c r="J526" s="3" t="inlineStr">
        <is>
          <t>/student/study-hours</t>
        </is>
      </c>
      <c r="K526" s="3" t="inlineStr">
        <is>
          <t>Comprehensive guide integrating syllabus breakdown, credit weighting, daily study quotas, and milestone reviews into an actionable calendar.</t>
        </is>
      </c>
      <c r="L526" s="2" t="inlineStr">
        <is>
          <t>YES</t>
        </is>
      </c>
      <c r="M526" s="2" t="inlineStr">
        <is>
          <t>HIGH</t>
        </is>
      </c>
      <c r="N526" s="2" t="inlineStr">
        <is>
          <t>READY</t>
        </is>
      </c>
      <c r="O526" s="3" t="inlineStr"/>
      <c r="P526" s="3" t="inlineStr"/>
      <c r="Q526" s="3" t="inlineStr"/>
      <c r="R526" s="3" t="inlineStr"/>
    </row>
    <row r="527" ht="20" customHeight="1">
      <c r="A527" s="4" t="inlineStr">
        <is>
          <t>ST526</t>
        </is>
      </c>
      <c r="B527" s="5" t="inlineStr">
        <is>
          <t>CTC vs Gross Salary vs In-Hand Take-Home: Understanding the Indian Salary Slip</t>
        </is>
      </c>
      <c r="C527" s="4" t="inlineStr">
        <is>
          <t>Career</t>
        </is>
      </c>
      <c r="D527" s="5" t="inlineStr">
        <is>
          <t>CTC</t>
        </is>
      </c>
      <c r="E527" s="4" t="inlineStr">
        <is>
          <t>Comparison</t>
        </is>
      </c>
      <c r="F527" s="4" t="inlineStr">
        <is>
          <t>Educational</t>
        </is>
      </c>
      <c r="G527" s="5" t="inlineStr">
        <is>
          <t>ctc vs gross vs in hand salary</t>
        </is>
      </c>
      <c r="H527" s="5" t="inlineStr">
        <is>
          <t>difference between ctc and in hand salary, gross salary meaning, salary structure india, take home pay formula</t>
        </is>
      </c>
      <c r="I527" s="5" t="inlineStr">
        <is>
          <t>CTC to In-Hand Salary Calculator</t>
        </is>
      </c>
      <c r="J527" s="5" t="inlineStr">
        <is>
          <t>/career/ctc-to-in-hand</t>
        </is>
      </c>
      <c r="K527" s="5" t="inlineStr">
        <is>
          <t>Deconstruct the Indian salary structure: CTC (Cost to Company), Gross Salary (before employee deductions), and Net In-Hand Salary (bank credit). Provide clear arithmetic waterfall from 10 LPA CTC to monthly credit.</t>
        </is>
      </c>
      <c r="L527" s="4" t="inlineStr">
        <is>
          <t>YES</t>
        </is>
      </c>
      <c r="M527" s="4" t="inlineStr">
        <is>
          <t>HIGH</t>
        </is>
      </c>
      <c r="N527" s="4" t="inlineStr">
        <is>
          <t>READY</t>
        </is>
      </c>
      <c r="O527" s="5" t="inlineStr"/>
      <c r="P527" s="5" t="inlineStr"/>
      <c r="Q527" s="5" t="inlineStr"/>
      <c r="R527" s="5" t="inlineStr"/>
    </row>
    <row r="528" ht="20" customHeight="1">
      <c r="A528" s="2" t="inlineStr">
        <is>
          <t>ST527</t>
        </is>
      </c>
      <c r="B528" s="3" t="inlineStr">
        <is>
          <t>Why Your Monthly Take-Home Is Much Lower Than Your CTC: Common Salary Slip Deductions</t>
        </is>
      </c>
      <c r="C528" s="2" t="inlineStr">
        <is>
          <t>Career</t>
        </is>
      </c>
      <c r="D528" s="3" t="inlineStr">
        <is>
          <t>CTC</t>
        </is>
      </c>
      <c r="E528" s="2" t="inlineStr">
        <is>
          <t>Explanation</t>
        </is>
      </c>
      <c r="F528" s="2" t="inlineStr">
        <is>
          <t>Educational</t>
        </is>
      </c>
      <c r="G528" s="3" t="inlineStr">
        <is>
          <t>why is in hand salary less than ctc</t>
        </is>
      </c>
      <c r="H528" s="3" t="inlineStr">
        <is>
          <t>salary slip deductions in india, employee vs employer pf, professional tax deduction, gratuity in ctc</t>
        </is>
      </c>
      <c r="I528" s="3" t="inlineStr">
        <is>
          <t>CTC to In-Hand Salary Calculator</t>
        </is>
      </c>
      <c r="J528" s="3" t="inlineStr">
        <is>
          <t>/career/ctc-to-in-hand</t>
        </is>
      </c>
      <c r="K528" s="3" t="inlineStr">
        <is>
          <t>Explain the mandatory and voluntary deductions that erode CTC: Employer PF (12%), Employee PF (12%), Gratuity (4.81%), Professional Tax (Rs 200/mo), and TDS income tax deductions.</t>
        </is>
      </c>
      <c r="L528" s="2" t="inlineStr">
        <is>
          <t>YES</t>
        </is>
      </c>
      <c r="M528" s="2" t="inlineStr">
        <is>
          <t>HIGH</t>
        </is>
      </c>
      <c r="N528" s="2" t="inlineStr">
        <is>
          <t>READY</t>
        </is>
      </c>
      <c r="O528" s="3" t="inlineStr"/>
      <c r="P528" s="3" t="inlineStr"/>
      <c r="Q528" s="3" t="inlineStr"/>
      <c r="R528" s="3" t="inlineStr"/>
    </row>
    <row r="529" ht="20" customHeight="1">
      <c r="A529" s="4" t="inlineStr">
        <is>
          <t>ST528</t>
        </is>
      </c>
      <c r="B529" s="5" t="inlineStr">
        <is>
          <t>Basic Salary Explained: Why It Is Kept at 40% to 50% of Your Total CTC</t>
        </is>
      </c>
      <c r="C529" s="4" t="inlineStr">
        <is>
          <t>Career</t>
        </is>
      </c>
      <c r="D529" s="5" t="inlineStr">
        <is>
          <t>CTC</t>
        </is>
      </c>
      <c r="E529" s="4" t="inlineStr">
        <is>
          <t>Explanation</t>
        </is>
      </c>
      <c r="F529" s="4" t="inlineStr">
        <is>
          <t>Informational</t>
        </is>
      </c>
      <c r="G529" s="5" t="inlineStr">
        <is>
          <t>what is basic salary in ctc</t>
        </is>
      </c>
      <c r="H529" s="5" t="inlineStr">
        <is>
          <t>why basic salary is 40 to 50 percent, basic salary calculation, basic pay impact on pf and gratuity</t>
        </is>
      </c>
      <c r="I529" s="5" t="inlineStr">
        <is>
          <t>CTC to In-Hand Salary Calculator</t>
        </is>
      </c>
      <c r="J529" s="5" t="inlineStr">
        <is>
          <t>/career/ctc-to-in-hand</t>
        </is>
      </c>
      <c r="K529" s="5" t="inlineStr">
        <is>
          <t>Explain statutory reasons companies peg Basic Salary at 40-50% of CTC: maximizing HRA tax exemptions while balancing statutory PF and Gratuity liabilities.</t>
        </is>
      </c>
      <c r="L529" s="4" t="inlineStr">
        <is>
          <t>YES</t>
        </is>
      </c>
      <c r="M529" s="4" t="inlineStr">
        <is>
          <t>HIGH</t>
        </is>
      </c>
      <c r="N529" s="4" t="inlineStr">
        <is>
          <t>READY</t>
        </is>
      </c>
      <c r="O529" s="5" t="inlineStr"/>
      <c r="P529" s="5" t="inlineStr"/>
      <c r="Q529" s="5" t="inlineStr"/>
      <c r="R529" s="5" t="inlineStr"/>
    </row>
    <row r="530" ht="20" customHeight="1">
      <c r="A530" s="2" t="inlineStr">
        <is>
          <t>ST529</t>
        </is>
      </c>
      <c r="B530" s="3" t="inlineStr">
        <is>
          <t>House Rent Allowance (HRA) Calculation and Exemption Rules Under Old vs New Tax Regime</t>
        </is>
      </c>
      <c r="C530" s="2" t="inlineStr">
        <is>
          <t>Career</t>
        </is>
      </c>
      <c r="D530" s="3" t="inlineStr">
        <is>
          <t>CTC</t>
        </is>
      </c>
      <c r="E530" s="2" t="inlineStr">
        <is>
          <t>Formula Guide</t>
        </is>
      </c>
      <c r="F530" s="2" t="inlineStr">
        <is>
          <t>Reference</t>
        </is>
      </c>
      <c r="G530" s="3" t="inlineStr">
        <is>
          <t>hra calculation and exemption formula</t>
        </is>
      </c>
      <c r="H530" s="3" t="inlineStr">
        <is>
          <t>how to calculate hra exemption, section 10 13a hra rules, hra in new tax regime</t>
        </is>
      </c>
      <c r="I530" s="3" t="inlineStr">
        <is>
          <t>CTC to In-Hand Salary Calculator</t>
        </is>
      </c>
      <c r="J530" s="3" t="inlineStr">
        <is>
          <t>/career/ctc-to-in-hand</t>
        </is>
      </c>
      <c r="K530" s="3" t="inlineStr">
        <is>
          <t>Detail the 3-condition HRA rule: 1) Actual HRA received, 2) 50% of Basic (metro) or 40% (non-metro), 3) Rent paid minus 10% of Basic. Clarify that HRA exemption is unavailable under the New Tax Regime.</t>
        </is>
      </c>
      <c r="L530" s="2" t="inlineStr">
        <is>
          <t>YES</t>
        </is>
      </c>
      <c r="M530" s="2" t="inlineStr">
        <is>
          <t>HIGH</t>
        </is>
      </c>
      <c r="N530" s="2" t="inlineStr">
        <is>
          <t>READY</t>
        </is>
      </c>
      <c r="O530" s="3" t="inlineStr"/>
      <c r="P530" s="3" t="inlineStr"/>
      <c r="Q530" s="3" t="inlineStr"/>
      <c r="R530" s="3" t="inlineStr"/>
    </row>
    <row r="531" ht="20" customHeight="1">
      <c r="A531" s="4" t="inlineStr">
        <is>
          <t>ST530</t>
        </is>
      </c>
      <c r="B531" s="5" t="inlineStr">
        <is>
          <t>Special Allowance in Indian Salary Structure: Taxation and Purpose</t>
        </is>
      </c>
      <c r="C531" s="4" t="inlineStr">
        <is>
          <t>Career</t>
        </is>
      </c>
      <c r="D531" s="5" t="inlineStr">
        <is>
          <t>CTC</t>
        </is>
      </c>
      <c r="E531" s="4" t="inlineStr">
        <is>
          <t>Explanation</t>
        </is>
      </c>
      <c r="F531" s="4" t="inlineStr">
        <is>
          <t>Informational</t>
        </is>
      </c>
      <c r="G531" s="5" t="inlineStr">
        <is>
          <t>what is special allowance in salary slip</t>
        </is>
      </c>
      <c r="H531" s="5" t="inlineStr">
        <is>
          <t>special allowance taxable or not, balancing component ctc, special allowance rules</t>
        </is>
      </c>
      <c r="I531" s="5" t="inlineStr">
        <is>
          <t>CTC to In-Hand Salary Calculator</t>
        </is>
      </c>
      <c r="J531" s="5" t="inlineStr">
        <is>
          <t>/career/ctc-to-in-hand</t>
        </is>
      </c>
      <c r="K531" s="5" t="inlineStr">
        <is>
          <t>Explain Special Allowance as a fully taxable plug-in component used by HR to make up the residual CTC after Basic, HRA, and statutory allowances are allocated.</t>
        </is>
      </c>
      <c r="L531" s="4" t="inlineStr">
        <is>
          <t>YES</t>
        </is>
      </c>
      <c r="M531" s="4" t="inlineStr">
        <is>
          <t>HIGH</t>
        </is>
      </c>
      <c r="N531" s="4" t="inlineStr">
        <is>
          <t>READY</t>
        </is>
      </c>
      <c r="O531" s="5" t="inlineStr"/>
      <c r="P531" s="5" t="inlineStr"/>
      <c r="Q531" s="5" t="inlineStr"/>
      <c r="R531" s="5" t="inlineStr"/>
    </row>
    <row r="532" ht="20" customHeight="1">
      <c r="A532" s="2" t="inlineStr">
        <is>
          <t>ST531</t>
        </is>
      </c>
      <c r="B532" s="3" t="inlineStr">
        <is>
          <t>Professional Tax (PT) in India: State-Wise Slabs and Monthly Salary Deduction</t>
        </is>
      </c>
      <c r="C532" s="2" t="inlineStr">
        <is>
          <t>Career</t>
        </is>
      </c>
      <c r="D532" s="3" t="inlineStr">
        <is>
          <t>CTC</t>
        </is>
      </c>
      <c r="E532" s="2" t="inlineStr">
        <is>
          <t>Guide</t>
        </is>
      </c>
      <c r="F532" s="2" t="inlineStr">
        <is>
          <t>Reference</t>
        </is>
      </c>
      <c r="G532" s="3" t="inlineStr">
        <is>
          <t>professional tax slab in india</t>
        </is>
      </c>
      <c r="H532" s="3" t="inlineStr">
        <is>
          <t>pt deduction in salary slip, maharashtra karnataka pt slab, maximum professional tax 2500</t>
        </is>
      </c>
      <c r="I532" s="3" t="inlineStr">
        <is>
          <t>CTC to In-Hand Salary Calculator</t>
        </is>
      </c>
      <c r="J532" s="3" t="inlineStr">
        <is>
          <t>/career/ctc-to-in-hand</t>
        </is>
      </c>
      <c r="K532" s="3" t="inlineStr">
        <is>
          <t>Review state-level Professional Tax rules (capped constitutionally at Rs 2,500/year): Maharashtra, Karnataka, West Bengal, Tamil Nadu, and states with zero PT.</t>
        </is>
      </c>
      <c r="L532" s="2" t="inlineStr">
        <is>
          <t>YES</t>
        </is>
      </c>
      <c r="M532" s="2" t="inlineStr">
        <is>
          <t>MEDIUM</t>
        </is>
      </c>
      <c r="N532" s="2" t="inlineStr">
        <is>
          <t>READY</t>
        </is>
      </c>
      <c r="O532" s="3" t="inlineStr"/>
      <c r="P532" s="3" t="inlineStr"/>
      <c r="Q532" s="3" t="inlineStr"/>
      <c r="R532" s="3" t="inlineStr"/>
    </row>
    <row r="533" ht="20" customHeight="1">
      <c r="A533" s="4" t="inlineStr">
        <is>
          <t>ST532</t>
        </is>
      </c>
      <c r="B533" s="5" t="inlineStr">
        <is>
          <t>Gratuity Calculation Formula: How Employers Calculate Gratuity in CTC</t>
        </is>
      </c>
      <c r="C533" s="4" t="inlineStr">
        <is>
          <t>Career</t>
        </is>
      </c>
      <c r="D533" s="5" t="inlineStr">
        <is>
          <t>CTC</t>
        </is>
      </c>
      <c r="E533" s="4" t="inlineStr">
        <is>
          <t>Formula Guide</t>
        </is>
      </c>
      <c r="F533" s="4" t="inlineStr">
        <is>
          <t>Reference</t>
        </is>
      </c>
      <c r="G533" s="5" t="inlineStr">
        <is>
          <t>gratuity formula in ctc</t>
        </is>
      </c>
      <c r="H533" s="5" t="inlineStr">
        <is>
          <t>how gratuity is calculated in salary, 15 26 gratuity rule, gratuity eligibility 5 years</t>
        </is>
      </c>
      <c r="I533" s="5" t="inlineStr">
        <is>
          <t>CTC to In-Hand Salary Calculator</t>
        </is>
      </c>
      <c r="J533" s="5" t="inlineStr">
        <is>
          <t>/career/ctc-to-in-hand</t>
        </is>
      </c>
      <c r="K533" s="5" t="inlineStr">
        <is>
          <t>Formula: Gratuity = (15 * Last Drawn Basic * Tenure) / 26. Explain why employers include 4.81% of Basic in annual CTC even if employee leaves before completing 5 years.</t>
        </is>
      </c>
      <c r="L533" s="4" t="inlineStr">
        <is>
          <t>YES</t>
        </is>
      </c>
      <c r="M533" s="4" t="inlineStr">
        <is>
          <t>HIGH</t>
        </is>
      </c>
      <c r="N533" s="4" t="inlineStr">
        <is>
          <t>READY</t>
        </is>
      </c>
      <c r="O533" s="5" t="inlineStr"/>
      <c r="P533" s="5" t="inlineStr"/>
      <c r="Q533" s="5" t="inlineStr"/>
      <c r="R533" s="5" t="inlineStr"/>
    </row>
    <row r="534" ht="20" customHeight="1">
      <c r="A534" s="2" t="inlineStr">
        <is>
          <t>ST533</t>
        </is>
      </c>
      <c r="B534" s="3" t="inlineStr">
        <is>
          <t>New Tax Regime vs Old Tax Regime: Which One Gives Higher Monthly In-Hand Salary?</t>
        </is>
      </c>
      <c r="C534" s="2" t="inlineStr">
        <is>
          <t>Career</t>
        </is>
      </c>
      <c r="D534" s="3" t="inlineStr">
        <is>
          <t>CTC</t>
        </is>
      </c>
      <c r="E534" s="2" t="inlineStr">
        <is>
          <t>Comparison</t>
        </is>
      </c>
      <c r="F534" s="2" t="inlineStr">
        <is>
          <t>Comparison</t>
        </is>
      </c>
      <c r="G534" s="3" t="inlineStr">
        <is>
          <t>new vs old tax regime in hand salary</t>
        </is>
      </c>
      <c r="H534" s="3" t="inlineStr">
        <is>
          <t>which tax regime is better for take home, default tax regime tds, salary in hand comparison</t>
        </is>
      </c>
      <c r="I534" s="3" t="inlineStr">
        <is>
          <t>CTC to In-Hand Salary Calculator</t>
        </is>
      </c>
      <c r="J534" s="3" t="inlineStr">
        <is>
          <t>/career/ctc-to-in-hand</t>
        </is>
      </c>
      <c r="K534" s="3" t="inlineStr">
        <is>
          <t>Compare monthly take-home under New Regime (lower tax rates, Rs 75k standard deduction, zero exemptions) vs Old Regime (80C, 80D, HRA deductions).</t>
        </is>
      </c>
      <c r="L534" s="2" t="inlineStr">
        <is>
          <t>YES</t>
        </is>
      </c>
      <c r="M534" s="2" t="inlineStr">
        <is>
          <t>HIGH</t>
        </is>
      </c>
      <c r="N534" s="2" t="inlineStr">
        <is>
          <t>READY</t>
        </is>
      </c>
      <c r="O534" s="3" t="inlineStr"/>
      <c r="P534" s="3" t="inlineStr"/>
      <c r="Q534" s="3" t="inlineStr"/>
      <c r="R534" s="3" t="inlineStr"/>
    </row>
    <row r="535" ht="20" customHeight="1">
      <c r="A535" s="4" t="inlineStr">
        <is>
          <t>ST534</t>
        </is>
      </c>
      <c r="B535" s="5" t="inlineStr">
        <is>
          <t>How Variable Pay and Performance Linked Incentives (PLI) Affect Monthly Cash Flow</t>
        </is>
      </c>
      <c r="C535" s="4" t="inlineStr">
        <is>
          <t>Career</t>
        </is>
      </c>
      <c r="D535" s="5" t="inlineStr">
        <is>
          <t>CTC</t>
        </is>
      </c>
      <c r="E535" s="4" t="inlineStr">
        <is>
          <t>Explanation</t>
        </is>
      </c>
      <c r="F535" s="4" t="inlineStr">
        <is>
          <t>Educational</t>
        </is>
      </c>
      <c r="G535" s="5" t="inlineStr">
        <is>
          <t>variable pay in ctc meaning</t>
        </is>
      </c>
      <c r="H535" s="5" t="inlineStr">
        <is>
          <t>fixed vs variable salary, pli payout timeline, why variable pay is not in hand monthly</t>
        </is>
      </c>
      <c r="I535" s="5" t="inlineStr">
        <is>
          <t>CTC to In-Hand Salary Calculator</t>
        </is>
      </c>
      <c r="J535" s="5" t="inlineStr">
        <is>
          <t>/career/ctc-to-in-hand</t>
        </is>
      </c>
      <c r="K535" s="5" t="inlineStr">
        <is>
          <t>Explain how a 10 LPA CTC with 20% variable pay means base monthly calculations derive from 8 LPA fixed, with variable paid quarterly or annually subject to performance.</t>
        </is>
      </c>
      <c r="L535" s="4" t="inlineStr">
        <is>
          <t>YES</t>
        </is>
      </c>
      <c r="M535" s="4" t="inlineStr">
        <is>
          <t>HIGH</t>
        </is>
      </c>
      <c r="N535" s="4" t="inlineStr">
        <is>
          <t>READY</t>
        </is>
      </c>
      <c r="O535" s="5" t="inlineStr"/>
      <c r="P535" s="5" t="inlineStr"/>
      <c r="Q535" s="5" t="inlineStr"/>
      <c r="R535" s="5" t="inlineStr"/>
    </row>
    <row r="536" ht="20" customHeight="1">
      <c r="A536" s="2" t="inlineStr">
        <is>
          <t>ST535</t>
        </is>
      </c>
      <c r="B536" s="3" t="inlineStr">
        <is>
          <t>TDS on Salary (Section 192): How Employers Deduct Income Tax Monthly</t>
        </is>
      </c>
      <c r="C536" s="2" t="inlineStr">
        <is>
          <t>Career</t>
        </is>
      </c>
      <c r="D536" s="3" t="inlineStr">
        <is>
          <t>CTC</t>
        </is>
      </c>
      <c r="E536" s="2" t="inlineStr">
        <is>
          <t>Guide</t>
        </is>
      </c>
      <c r="F536" s="2" t="inlineStr">
        <is>
          <t>How-To</t>
        </is>
      </c>
      <c r="G536" s="3" t="inlineStr">
        <is>
          <t>how tds on salary is calculated monthly</t>
        </is>
      </c>
      <c r="H536" s="3" t="inlineStr">
        <is>
          <t>section 192 tds formula, monthly tds deduction from salary, form 16 tds breakdown</t>
        </is>
      </c>
      <c r="I536" s="3" t="inlineStr">
        <is>
          <t>CTC to In-Hand Salary Calculator</t>
        </is>
      </c>
      <c r="J536" s="3" t="inlineStr">
        <is>
          <t>/career/ctc-to-in-hand</t>
        </is>
      </c>
      <c r="K536" s="3" t="inlineStr">
        <is>
          <t>Explain average tax rate deduction: Total Estimated Annual Tax Liability divided by 12 months, and how submitting investment proofs in January prevents TDS spikes.</t>
        </is>
      </c>
      <c r="L536" s="2" t="inlineStr">
        <is>
          <t>YES</t>
        </is>
      </c>
      <c r="M536" s="2" t="inlineStr">
        <is>
          <t>HIGH</t>
        </is>
      </c>
      <c r="N536" s="2" t="inlineStr">
        <is>
          <t>READY</t>
        </is>
      </c>
      <c r="O536" s="3" t="inlineStr"/>
      <c r="P536" s="3" t="inlineStr"/>
      <c r="Q536" s="3" t="inlineStr"/>
      <c r="R536" s="3" t="inlineStr"/>
    </row>
    <row r="537" ht="20" customHeight="1">
      <c r="A537" s="4" t="inlineStr">
        <is>
          <t>ST536</t>
        </is>
      </c>
      <c r="B537" s="5" t="inlineStr">
        <is>
          <t>3 LPA Salary Breakdown: Estimated Monthly In-Hand, PF, and Zero Tax Reality</t>
        </is>
      </c>
      <c r="C537" s="4" t="inlineStr">
        <is>
          <t>Career</t>
        </is>
      </c>
      <c r="D537" s="5" t="inlineStr">
        <is>
          <t>CTC</t>
        </is>
      </c>
      <c r="E537" s="4" t="inlineStr">
        <is>
          <t>Explanation</t>
        </is>
      </c>
      <c r="F537" s="4" t="inlineStr">
        <is>
          <t>Educational</t>
        </is>
      </c>
      <c r="G537" s="5" t="inlineStr">
        <is>
          <t>3 lpa in hand salary</t>
        </is>
      </c>
      <c r="H537" s="5" t="inlineStr">
        <is>
          <t>3.0 lpa ctc in hand, 3.0 lakh per annum monthly salary, take home pay for 3.0 lpa</t>
        </is>
      </c>
      <c r="I537" s="5" t="inlineStr">
        <is>
          <t>CTC to In-Hand Salary Calculator</t>
        </is>
      </c>
      <c r="J537" s="5" t="inlineStr">
        <is>
          <t>/career/ctc-to-in-hand</t>
        </is>
      </c>
      <c r="K537" s="5" t="inlineStr">
        <is>
          <t>Provide a realistic Indian corporate salary breakdown for 3.0 LPA CTC: Basic (40-50%), HRA, Employee &amp; Employer PF, Gratuity, Professional Tax, and TDS deductions under the New Tax Regime, highlighting that actual take-home depends on specific employer salary structures.</t>
        </is>
      </c>
      <c r="L537" s="4" t="inlineStr">
        <is>
          <t>YES</t>
        </is>
      </c>
      <c r="M537" s="4" t="inlineStr">
        <is>
          <t>HIGH</t>
        </is>
      </c>
      <c r="N537" s="4" t="inlineStr">
        <is>
          <t>READY</t>
        </is>
      </c>
      <c r="O537" s="5" t="inlineStr"/>
      <c r="P537" s="5" t="inlineStr"/>
      <c r="Q537" s="5" t="inlineStr"/>
      <c r="R537" s="5" t="inlineStr"/>
    </row>
    <row r="538" ht="20" customHeight="1">
      <c r="A538" s="2" t="inlineStr">
        <is>
          <t>ST537</t>
        </is>
      </c>
      <c r="B538" s="3" t="inlineStr">
        <is>
          <t>3.5 LPA Salary Breakdown: Fresher IT Service Company Take-Home Calculation</t>
        </is>
      </c>
      <c r="C538" s="2" t="inlineStr">
        <is>
          <t>Career</t>
        </is>
      </c>
      <c r="D538" s="3" t="inlineStr">
        <is>
          <t>CTC</t>
        </is>
      </c>
      <c r="E538" s="2" t="inlineStr">
        <is>
          <t>Explanation</t>
        </is>
      </c>
      <c r="F538" s="2" t="inlineStr">
        <is>
          <t>Educational</t>
        </is>
      </c>
      <c r="G538" s="3" t="inlineStr">
        <is>
          <t>3.5 lpa in hand salary</t>
        </is>
      </c>
      <c r="H538" s="3" t="inlineStr">
        <is>
          <t>3.5 lpa ctc in hand, 3.5 lakh per annum monthly salary, take home pay for 3.5 lpa</t>
        </is>
      </c>
      <c r="I538" s="3" t="inlineStr">
        <is>
          <t>CTC to In-Hand Salary Calculator</t>
        </is>
      </c>
      <c r="J538" s="3" t="inlineStr">
        <is>
          <t>/career/ctc-to-in-hand</t>
        </is>
      </c>
      <c r="K538" s="3" t="inlineStr">
        <is>
          <t>Provide a realistic Indian corporate salary breakdown for 3.5 LPA CTC: Basic (40-50%), HRA, Employee &amp; Employer PF, Gratuity, Professional Tax, and TDS deductions under the New Tax Regime, highlighting that actual take-home depends on specific employer salary structures.</t>
        </is>
      </c>
      <c r="L538" s="2" t="inlineStr">
        <is>
          <t>YES</t>
        </is>
      </c>
      <c r="M538" s="2" t="inlineStr">
        <is>
          <t>HIGH</t>
        </is>
      </c>
      <c r="N538" s="2" t="inlineStr">
        <is>
          <t>READY</t>
        </is>
      </c>
      <c r="O538" s="3" t="inlineStr"/>
      <c r="P538" s="3" t="inlineStr"/>
      <c r="Q538" s="3" t="inlineStr"/>
      <c r="R538" s="3" t="inlineStr"/>
    </row>
    <row r="539" ht="20" customHeight="1">
      <c r="A539" s="4" t="inlineStr">
        <is>
          <t>ST538</t>
        </is>
      </c>
      <c r="B539" s="5" t="inlineStr">
        <is>
          <t>4 LPA Salary Breakdown: Monthly In-Hand Take-Home After PF and PT</t>
        </is>
      </c>
      <c r="C539" s="4" t="inlineStr">
        <is>
          <t>Career</t>
        </is>
      </c>
      <c r="D539" s="5" t="inlineStr">
        <is>
          <t>CTC</t>
        </is>
      </c>
      <c r="E539" s="4" t="inlineStr">
        <is>
          <t>Explanation</t>
        </is>
      </c>
      <c r="F539" s="4" t="inlineStr">
        <is>
          <t>Educational</t>
        </is>
      </c>
      <c r="G539" s="5" t="inlineStr">
        <is>
          <t>4 lpa in hand salary</t>
        </is>
      </c>
      <c r="H539" s="5" t="inlineStr">
        <is>
          <t>4.0 lpa ctc in hand, 4.0 lakh per annum monthly salary, take home pay for 4.0 lpa</t>
        </is>
      </c>
      <c r="I539" s="5" t="inlineStr">
        <is>
          <t>CTC to In-Hand Salary Calculator</t>
        </is>
      </c>
      <c r="J539" s="5" t="inlineStr">
        <is>
          <t>/career/ctc-to-in-hand</t>
        </is>
      </c>
      <c r="K539" s="5" t="inlineStr">
        <is>
          <t>Provide a realistic Indian corporate salary breakdown for 4.0 LPA CTC: Basic (40-50%), HRA, Employee &amp; Employer PF, Gratuity, Professional Tax, and TDS deductions under the New Tax Regime, highlighting that actual take-home depends on specific employer salary structures.</t>
        </is>
      </c>
      <c r="L539" s="4" t="inlineStr">
        <is>
          <t>YES</t>
        </is>
      </c>
      <c r="M539" s="4" t="inlineStr">
        <is>
          <t>HIGH</t>
        </is>
      </c>
      <c r="N539" s="4" t="inlineStr">
        <is>
          <t>READY</t>
        </is>
      </c>
      <c r="O539" s="5" t="inlineStr"/>
      <c r="P539" s="5" t="inlineStr"/>
      <c r="Q539" s="5" t="inlineStr"/>
      <c r="R539" s="5" t="inlineStr"/>
    </row>
    <row r="540" ht="20" customHeight="1">
      <c r="A540" s="2" t="inlineStr">
        <is>
          <t>ST539</t>
        </is>
      </c>
      <c r="B540" s="3" t="inlineStr">
        <is>
          <t>4.5 LPA Salary Breakdown: Detailed Paycheck Components and Take-Home</t>
        </is>
      </c>
      <c r="C540" s="2" t="inlineStr">
        <is>
          <t>Career</t>
        </is>
      </c>
      <c r="D540" s="3" t="inlineStr">
        <is>
          <t>CTC</t>
        </is>
      </c>
      <c r="E540" s="2" t="inlineStr">
        <is>
          <t>Explanation</t>
        </is>
      </c>
      <c r="F540" s="2" t="inlineStr">
        <is>
          <t>Educational</t>
        </is>
      </c>
      <c r="G540" s="3" t="inlineStr">
        <is>
          <t>4.5 lpa in hand salary</t>
        </is>
      </c>
      <c r="H540" s="3" t="inlineStr">
        <is>
          <t>4.5 lpa ctc in hand, 4.5 lakh per annum monthly salary, take home pay for 4.5 lpa</t>
        </is>
      </c>
      <c r="I540" s="3" t="inlineStr">
        <is>
          <t>CTC to In-Hand Salary Calculator</t>
        </is>
      </c>
      <c r="J540" s="3" t="inlineStr">
        <is>
          <t>/career/ctc-to-in-hand</t>
        </is>
      </c>
      <c r="K540" s="3" t="inlineStr">
        <is>
          <t>Provide a realistic Indian corporate salary breakdown for 4.5 LPA CTC: Basic (40-50%), HRA, Employee &amp; Employer PF, Gratuity, Professional Tax, and TDS deductions under the New Tax Regime, highlighting that actual take-home depends on specific employer salary structures.</t>
        </is>
      </c>
      <c r="L540" s="2" t="inlineStr">
        <is>
          <t>YES</t>
        </is>
      </c>
      <c r="M540" s="2" t="inlineStr">
        <is>
          <t>MEDIUM</t>
        </is>
      </c>
      <c r="N540" s="2" t="inlineStr">
        <is>
          <t>READY</t>
        </is>
      </c>
      <c r="O540" s="3" t="inlineStr"/>
      <c r="P540" s="3" t="inlineStr"/>
      <c r="Q540" s="3" t="inlineStr"/>
      <c r="R540" s="3" t="inlineStr"/>
    </row>
    <row r="541" ht="20" customHeight="1">
      <c r="A541" s="4" t="inlineStr">
        <is>
          <t>ST540</t>
        </is>
      </c>
      <c r="B541" s="5" t="inlineStr">
        <is>
          <t>5 LPA Salary Breakdown: Monthly In-Hand Pay Under New Tax Regime</t>
        </is>
      </c>
      <c r="C541" s="4" t="inlineStr">
        <is>
          <t>Career</t>
        </is>
      </c>
      <c r="D541" s="5" t="inlineStr">
        <is>
          <t>CTC</t>
        </is>
      </c>
      <c r="E541" s="4" t="inlineStr">
        <is>
          <t>Explanation</t>
        </is>
      </c>
      <c r="F541" s="4" t="inlineStr">
        <is>
          <t>Educational</t>
        </is>
      </c>
      <c r="G541" s="5" t="inlineStr">
        <is>
          <t>5 lpa in hand salary</t>
        </is>
      </c>
      <c r="H541" s="5" t="inlineStr">
        <is>
          <t>5.0 lpa ctc in hand, 5.0 lakh per annum monthly salary, take home pay for 5.0 lpa</t>
        </is>
      </c>
      <c r="I541" s="5" t="inlineStr">
        <is>
          <t>CTC to In-Hand Salary Calculator</t>
        </is>
      </c>
      <c r="J541" s="5" t="inlineStr">
        <is>
          <t>/career/ctc-to-in-hand</t>
        </is>
      </c>
      <c r="K541" s="5" t="inlineStr">
        <is>
          <t>Provide a realistic Indian corporate salary breakdown for 5.0 LPA CTC: Basic (40-50%), HRA, Employee &amp; Employer PF, Gratuity, Professional Tax, and TDS deductions under the New Tax Regime, highlighting that actual take-home depends on specific employer salary structures.</t>
        </is>
      </c>
      <c r="L541" s="4" t="inlineStr">
        <is>
          <t>YES</t>
        </is>
      </c>
      <c r="M541" s="4" t="inlineStr">
        <is>
          <t>HIGH</t>
        </is>
      </c>
      <c r="N541" s="4" t="inlineStr">
        <is>
          <t>READY</t>
        </is>
      </c>
      <c r="O541" s="5" t="inlineStr"/>
      <c r="P541" s="5" t="inlineStr"/>
      <c r="Q541" s="5" t="inlineStr"/>
      <c r="R541" s="5" t="inlineStr"/>
    </row>
    <row r="542" ht="20" customHeight="1">
      <c r="A542" s="2" t="inlineStr">
        <is>
          <t>ST541</t>
        </is>
      </c>
      <c r="B542" s="3" t="inlineStr">
        <is>
          <t>5.5 LPA Salary Breakdown: Gross vs Net Salary Calculation with Examples</t>
        </is>
      </c>
      <c r="C542" s="2" t="inlineStr">
        <is>
          <t>Career</t>
        </is>
      </c>
      <c r="D542" s="3" t="inlineStr">
        <is>
          <t>CTC</t>
        </is>
      </c>
      <c r="E542" s="2" t="inlineStr">
        <is>
          <t>Explanation</t>
        </is>
      </c>
      <c r="F542" s="2" t="inlineStr">
        <is>
          <t>Educational</t>
        </is>
      </c>
      <c r="G542" s="3" t="inlineStr">
        <is>
          <t>5.5 lpa in hand salary</t>
        </is>
      </c>
      <c r="H542" s="3" t="inlineStr">
        <is>
          <t>5.5 lpa ctc in hand, 5.5 lakh per annum monthly salary, take home pay for 5.5 lpa</t>
        </is>
      </c>
      <c r="I542" s="3" t="inlineStr">
        <is>
          <t>CTC to In-Hand Salary Calculator</t>
        </is>
      </c>
      <c r="J542" s="3" t="inlineStr">
        <is>
          <t>/career/ctc-to-in-hand</t>
        </is>
      </c>
      <c r="K542" s="3" t="inlineStr">
        <is>
          <t>Provide a realistic Indian corporate salary breakdown for 5.5 LPA CTC: Basic (40-50%), HRA, Employee &amp; Employer PF, Gratuity, Professional Tax, and TDS deductions under the New Tax Regime, highlighting that actual take-home depends on specific employer salary structures.</t>
        </is>
      </c>
      <c r="L542" s="2" t="inlineStr">
        <is>
          <t>YES</t>
        </is>
      </c>
      <c r="M542" s="2" t="inlineStr">
        <is>
          <t>MEDIUM</t>
        </is>
      </c>
      <c r="N542" s="2" t="inlineStr">
        <is>
          <t>READY</t>
        </is>
      </c>
      <c r="O542" s="3" t="inlineStr"/>
      <c r="P542" s="3" t="inlineStr"/>
      <c r="Q542" s="3" t="inlineStr"/>
      <c r="R542" s="3" t="inlineStr"/>
    </row>
    <row r="543" ht="20" customHeight="1">
      <c r="A543" s="4" t="inlineStr">
        <is>
          <t>ST542</t>
        </is>
      </c>
      <c r="B543" s="5" t="inlineStr">
        <is>
          <t>6 LPA Salary Breakdown: Expected Monthly In-Hand Salary and Deductions</t>
        </is>
      </c>
      <c r="C543" s="4" t="inlineStr">
        <is>
          <t>Career</t>
        </is>
      </c>
      <c r="D543" s="5" t="inlineStr">
        <is>
          <t>CTC</t>
        </is>
      </c>
      <c r="E543" s="4" t="inlineStr">
        <is>
          <t>Explanation</t>
        </is>
      </c>
      <c r="F543" s="4" t="inlineStr">
        <is>
          <t>Educational</t>
        </is>
      </c>
      <c r="G543" s="5" t="inlineStr">
        <is>
          <t>6 lpa in hand salary</t>
        </is>
      </c>
      <c r="H543" s="5" t="inlineStr">
        <is>
          <t>6.0 lpa ctc in hand, 6.0 lakh per annum monthly salary, take home pay for 6.0 lpa</t>
        </is>
      </c>
      <c r="I543" s="5" t="inlineStr">
        <is>
          <t>CTC to In-Hand Salary Calculator</t>
        </is>
      </c>
      <c r="J543" s="5" t="inlineStr">
        <is>
          <t>/career/ctc-to-in-hand</t>
        </is>
      </c>
      <c r="K543" s="5" t="inlineStr">
        <is>
          <t>Provide a realistic Indian corporate salary breakdown for 6.0 LPA CTC: Basic (40-50%), HRA, Employee &amp; Employer PF, Gratuity, Professional Tax, and TDS deductions under the New Tax Regime, highlighting that actual take-home depends on specific employer salary structures.</t>
        </is>
      </c>
      <c r="L543" s="4" t="inlineStr">
        <is>
          <t>YES</t>
        </is>
      </c>
      <c r="M543" s="4" t="inlineStr">
        <is>
          <t>HIGH</t>
        </is>
      </c>
      <c r="N543" s="4" t="inlineStr">
        <is>
          <t>READY</t>
        </is>
      </c>
      <c r="O543" s="5" t="inlineStr"/>
      <c r="P543" s="5" t="inlineStr"/>
      <c r="Q543" s="5" t="inlineStr"/>
      <c r="R543" s="5" t="inlineStr"/>
    </row>
    <row r="544" ht="20" customHeight="1">
      <c r="A544" s="2" t="inlineStr">
        <is>
          <t>ST543</t>
        </is>
      </c>
      <c r="B544" s="3" t="inlineStr">
        <is>
          <t>6.5 LPA Salary Breakdown: Take-Home Pay, EPF Share, and Professional Tax</t>
        </is>
      </c>
      <c r="C544" s="2" t="inlineStr">
        <is>
          <t>Career</t>
        </is>
      </c>
      <c r="D544" s="3" t="inlineStr">
        <is>
          <t>CTC</t>
        </is>
      </c>
      <c r="E544" s="2" t="inlineStr">
        <is>
          <t>Explanation</t>
        </is>
      </c>
      <c r="F544" s="2" t="inlineStr">
        <is>
          <t>Educational</t>
        </is>
      </c>
      <c r="G544" s="3" t="inlineStr">
        <is>
          <t>6.5 lpa in hand salary</t>
        </is>
      </c>
      <c r="H544" s="3" t="inlineStr">
        <is>
          <t>6.5 lpa ctc in hand, 6.5 lakh per annum monthly salary, take home pay for 6.5 lpa</t>
        </is>
      </c>
      <c r="I544" s="3" t="inlineStr">
        <is>
          <t>CTC to In-Hand Salary Calculator</t>
        </is>
      </c>
      <c r="J544" s="3" t="inlineStr">
        <is>
          <t>/career/ctc-to-in-hand</t>
        </is>
      </c>
      <c r="K544" s="3" t="inlineStr">
        <is>
          <t>Provide a realistic Indian corporate salary breakdown for 6.5 LPA CTC: Basic (40-50%), HRA, Employee &amp; Employer PF, Gratuity, Professional Tax, and TDS deductions under the New Tax Regime, highlighting that actual take-home depends on specific employer salary structures.</t>
        </is>
      </c>
      <c r="L544" s="2" t="inlineStr">
        <is>
          <t>YES</t>
        </is>
      </c>
      <c r="M544" s="2" t="inlineStr">
        <is>
          <t>MEDIUM</t>
        </is>
      </c>
      <c r="N544" s="2" t="inlineStr">
        <is>
          <t>READY</t>
        </is>
      </c>
      <c r="O544" s="3" t="inlineStr"/>
      <c r="P544" s="3" t="inlineStr"/>
      <c r="Q544" s="3" t="inlineStr"/>
      <c r="R544" s="3" t="inlineStr"/>
    </row>
    <row r="545" ht="20" customHeight="1">
      <c r="A545" s="4" t="inlineStr">
        <is>
          <t>ST544</t>
        </is>
      </c>
      <c r="B545" s="5" t="inlineStr">
        <is>
          <t>7 LPA Salary Breakdown: Tax Liability, Section 87A Rebate, and Net Monthly Pay</t>
        </is>
      </c>
      <c r="C545" s="4" t="inlineStr">
        <is>
          <t>Career</t>
        </is>
      </c>
      <c r="D545" s="5" t="inlineStr">
        <is>
          <t>CTC</t>
        </is>
      </c>
      <c r="E545" s="4" t="inlineStr">
        <is>
          <t>Explanation</t>
        </is>
      </c>
      <c r="F545" s="4" t="inlineStr">
        <is>
          <t>Educational</t>
        </is>
      </c>
      <c r="G545" s="5" t="inlineStr">
        <is>
          <t>7 lpa in hand salary</t>
        </is>
      </c>
      <c r="H545" s="5" t="inlineStr">
        <is>
          <t>7.0 lpa ctc in hand, 7.0 lakh per annum monthly salary, take home pay for 7.0 lpa</t>
        </is>
      </c>
      <c r="I545" s="5" t="inlineStr">
        <is>
          <t>CTC to In-Hand Salary Calculator</t>
        </is>
      </c>
      <c r="J545" s="5" t="inlineStr">
        <is>
          <t>/career/ctc-to-in-hand</t>
        </is>
      </c>
      <c r="K545" s="5" t="inlineStr">
        <is>
          <t>Provide a realistic Indian corporate salary breakdown for 7.0 LPA CTC: Basic (40-50%), HRA, Employee &amp; Employer PF, Gratuity, Professional Tax, and TDS deductions under the New Tax Regime, highlighting that actual take-home depends on specific employer salary structures.</t>
        </is>
      </c>
      <c r="L545" s="4" t="inlineStr">
        <is>
          <t>YES</t>
        </is>
      </c>
      <c r="M545" s="4" t="inlineStr">
        <is>
          <t>HIGH</t>
        </is>
      </c>
      <c r="N545" s="4" t="inlineStr">
        <is>
          <t>READY</t>
        </is>
      </c>
      <c r="O545" s="5" t="inlineStr"/>
      <c r="P545" s="5" t="inlineStr"/>
      <c r="Q545" s="5" t="inlineStr"/>
      <c r="R545" s="5" t="inlineStr"/>
    </row>
    <row r="546" ht="20" customHeight="1">
      <c r="A546" s="2" t="inlineStr">
        <is>
          <t>ST545</t>
        </is>
      </c>
      <c r="B546" s="3" t="inlineStr">
        <is>
          <t>7.5 LPA Salary Breakdown: Why This Salary Bracket Enjoys Zero Tax in New Regime</t>
        </is>
      </c>
      <c r="C546" s="2" t="inlineStr">
        <is>
          <t>Career</t>
        </is>
      </c>
      <c r="D546" s="3" t="inlineStr">
        <is>
          <t>CTC</t>
        </is>
      </c>
      <c r="E546" s="2" t="inlineStr">
        <is>
          <t>Explanation</t>
        </is>
      </c>
      <c r="F546" s="2" t="inlineStr">
        <is>
          <t>Educational</t>
        </is>
      </c>
      <c r="G546" s="3" t="inlineStr">
        <is>
          <t>7.5 lpa in hand salary</t>
        </is>
      </c>
      <c r="H546" s="3" t="inlineStr">
        <is>
          <t>7.5 lpa ctc in hand, 7.5 lakh per annum monthly salary, take home pay for 7.5 lpa</t>
        </is>
      </c>
      <c r="I546" s="3" t="inlineStr">
        <is>
          <t>CTC to In-Hand Salary Calculator</t>
        </is>
      </c>
      <c r="J546" s="3" t="inlineStr">
        <is>
          <t>/career/ctc-to-in-hand</t>
        </is>
      </c>
      <c r="K546" s="3" t="inlineStr">
        <is>
          <t>Provide a realistic Indian corporate salary breakdown for 7.5 LPA CTC: Basic (40-50%), HRA, Employee &amp; Employer PF, Gratuity, Professional Tax, and TDS deductions under the New Tax Regime, highlighting that actual take-home depends on specific employer salary structures.</t>
        </is>
      </c>
      <c r="L546" s="2" t="inlineStr">
        <is>
          <t>YES</t>
        </is>
      </c>
      <c r="M546" s="2" t="inlineStr">
        <is>
          <t>HIGH</t>
        </is>
      </c>
      <c r="N546" s="2" t="inlineStr">
        <is>
          <t>READY</t>
        </is>
      </c>
      <c r="O546" s="3" t="inlineStr"/>
      <c r="P546" s="3" t="inlineStr"/>
      <c r="Q546" s="3" t="inlineStr"/>
      <c r="R546" s="3" t="inlineStr"/>
    </row>
    <row r="547" ht="20" customHeight="1">
      <c r="A547" s="4" t="inlineStr">
        <is>
          <t>ST546</t>
        </is>
      </c>
      <c r="B547" s="5" t="inlineStr">
        <is>
          <t>8 LPA Salary Breakdown: Monthly In-Hand Salary After Tax and PF Deductions</t>
        </is>
      </c>
      <c r="C547" s="4" t="inlineStr">
        <is>
          <t>Career</t>
        </is>
      </c>
      <c r="D547" s="5" t="inlineStr">
        <is>
          <t>CTC</t>
        </is>
      </c>
      <c r="E547" s="4" t="inlineStr">
        <is>
          <t>Explanation</t>
        </is>
      </c>
      <c r="F547" s="4" t="inlineStr">
        <is>
          <t>Educational</t>
        </is>
      </c>
      <c r="G547" s="5" t="inlineStr">
        <is>
          <t>8 lpa in hand salary</t>
        </is>
      </c>
      <c r="H547" s="5" t="inlineStr">
        <is>
          <t>8.0 lpa ctc in hand, 8.0 lakh per annum monthly salary, take home pay for 8.0 lpa</t>
        </is>
      </c>
      <c r="I547" s="5" t="inlineStr">
        <is>
          <t>CTC to In-Hand Salary Calculator</t>
        </is>
      </c>
      <c r="J547" s="5" t="inlineStr">
        <is>
          <t>/career/ctc-to-in-hand</t>
        </is>
      </c>
      <c r="K547" s="5" t="inlineStr">
        <is>
          <t>Provide a realistic Indian corporate salary breakdown for 8.0 LPA CTC: Basic (40-50%), HRA, Employee &amp; Employer PF, Gratuity, Professional Tax, and TDS deductions under the New Tax Regime, highlighting that actual take-home depends on specific employer salary structures.</t>
        </is>
      </c>
      <c r="L547" s="4" t="inlineStr">
        <is>
          <t>YES</t>
        </is>
      </c>
      <c r="M547" s="4" t="inlineStr">
        <is>
          <t>HIGH</t>
        </is>
      </c>
      <c r="N547" s="4" t="inlineStr">
        <is>
          <t>READY</t>
        </is>
      </c>
      <c r="O547" s="5" t="inlineStr"/>
      <c r="P547" s="5" t="inlineStr"/>
      <c r="Q547" s="5" t="inlineStr"/>
      <c r="R547" s="5" t="inlineStr"/>
    </row>
    <row r="548" ht="20" customHeight="1">
      <c r="A548" s="2" t="inlineStr">
        <is>
          <t>ST547</t>
        </is>
      </c>
      <c r="B548" s="3" t="inlineStr">
        <is>
          <t>9 LPA Salary Breakdown: Paycheck Analysis with Standard Deduction</t>
        </is>
      </c>
      <c r="C548" s="2" t="inlineStr">
        <is>
          <t>Career</t>
        </is>
      </c>
      <c r="D548" s="3" t="inlineStr">
        <is>
          <t>CTC</t>
        </is>
      </c>
      <c r="E548" s="2" t="inlineStr">
        <is>
          <t>Explanation</t>
        </is>
      </c>
      <c r="F548" s="2" t="inlineStr">
        <is>
          <t>Educational</t>
        </is>
      </c>
      <c r="G548" s="3" t="inlineStr">
        <is>
          <t>9 lpa in hand salary</t>
        </is>
      </c>
      <c r="H548" s="3" t="inlineStr">
        <is>
          <t>9.0 lpa ctc in hand, 9.0 lakh per annum monthly salary, take home pay for 9.0 lpa</t>
        </is>
      </c>
      <c r="I548" s="3" t="inlineStr">
        <is>
          <t>CTC to In-Hand Salary Calculator</t>
        </is>
      </c>
      <c r="J548" s="3" t="inlineStr">
        <is>
          <t>/career/ctc-to-in-hand</t>
        </is>
      </c>
      <c r="K548" s="3" t="inlineStr">
        <is>
          <t>Provide a realistic Indian corporate salary breakdown for 9.0 LPA CTC: Basic (40-50%), HRA, Employee &amp; Employer PF, Gratuity, Professional Tax, and TDS deductions under the New Tax Regime, highlighting that actual take-home depends on specific employer salary structures.</t>
        </is>
      </c>
      <c r="L548" s="2" t="inlineStr">
        <is>
          <t>YES</t>
        </is>
      </c>
      <c r="M548" s="2" t="inlineStr">
        <is>
          <t>HIGH</t>
        </is>
      </c>
      <c r="N548" s="2" t="inlineStr">
        <is>
          <t>READY</t>
        </is>
      </c>
      <c r="O548" s="3" t="inlineStr"/>
      <c r="P548" s="3" t="inlineStr"/>
      <c r="Q548" s="3" t="inlineStr"/>
      <c r="R548" s="3" t="inlineStr"/>
    </row>
    <row r="549" ht="20" customHeight="1">
      <c r="A549" s="4" t="inlineStr">
        <is>
          <t>ST548</t>
        </is>
      </c>
      <c r="B549" s="5" t="inlineStr">
        <is>
          <t>10 LPA Salary Breakdown: What Is the Exact Monthly Take-Home for a 10 Lakh Package?</t>
        </is>
      </c>
      <c r="C549" s="4" t="inlineStr">
        <is>
          <t>Career</t>
        </is>
      </c>
      <c r="D549" s="5" t="inlineStr">
        <is>
          <t>CTC</t>
        </is>
      </c>
      <c r="E549" s="4" t="inlineStr">
        <is>
          <t>Explanation</t>
        </is>
      </c>
      <c r="F549" s="4" t="inlineStr">
        <is>
          <t>Educational</t>
        </is>
      </c>
      <c r="G549" s="5" t="inlineStr">
        <is>
          <t>10 lpa in hand salary</t>
        </is>
      </c>
      <c r="H549" s="5" t="inlineStr">
        <is>
          <t>10.0 lpa ctc in hand, 10.0 lakh per annum monthly salary, take home pay for 10.0 lpa</t>
        </is>
      </c>
      <c r="I549" s="5" t="inlineStr">
        <is>
          <t>CTC to In-Hand Salary Calculator</t>
        </is>
      </c>
      <c r="J549" s="5" t="inlineStr">
        <is>
          <t>/career/ctc-to-in-hand</t>
        </is>
      </c>
      <c r="K549" s="5" t="inlineStr">
        <is>
          <t>Provide a realistic Indian corporate salary breakdown for 10.0 LPA CTC: Basic (40-50%), HRA, Employee &amp; Employer PF, Gratuity, Professional Tax, and TDS deductions under the New Tax Regime, highlighting that actual take-home depends on specific employer salary structures.</t>
        </is>
      </c>
      <c r="L549" s="4" t="inlineStr">
        <is>
          <t>YES</t>
        </is>
      </c>
      <c r="M549" s="4" t="inlineStr">
        <is>
          <t>HIGH</t>
        </is>
      </c>
      <c r="N549" s="4" t="inlineStr">
        <is>
          <t>READY</t>
        </is>
      </c>
      <c r="O549" s="5" t="inlineStr"/>
      <c r="P549" s="5" t="inlineStr"/>
      <c r="Q549" s="5" t="inlineStr"/>
      <c r="R549" s="5" t="inlineStr"/>
    </row>
    <row r="550" ht="20" customHeight="1">
      <c r="A550" s="2" t="inlineStr">
        <is>
          <t>ST549</t>
        </is>
      </c>
      <c r="B550" s="3" t="inlineStr">
        <is>
          <t>11 LPA Salary Breakdown: Monthly In-Hand Salary Under Old vs New Regime</t>
        </is>
      </c>
      <c r="C550" s="2" t="inlineStr">
        <is>
          <t>Career</t>
        </is>
      </c>
      <c r="D550" s="3" t="inlineStr">
        <is>
          <t>CTC</t>
        </is>
      </c>
      <c r="E550" s="2" t="inlineStr">
        <is>
          <t>Explanation</t>
        </is>
      </c>
      <c r="F550" s="2" t="inlineStr">
        <is>
          <t>Educational</t>
        </is>
      </c>
      <c r="G550" s="3" t="inlineStr">
        <is>
          <t>11 lpa in hand salary</t>
        </is>
      </c>
      <c r="H550" s="3" t="inlineStr">
        <is>
          <t>11.0 lpa ctc in hand, 11.0 lakh per annum monthly salary, take home pay for 11.0 lpa</t>
        </is>
      </c>
      <c r="I550" s="3" t="inlineStr">
        <is>
          <t>CTC to In-Hand Salary Calculator</t>
        </is>
      </c>
      <c r="J550" s="3" t="inlineStr">
        <is>
          <t>/career/ctc-to-in-hand</t>
        </is>
      </c>
      <c r="K550" s="3" t="inlineStr">
        <is>
          <t>Provide a realistic Indian corporate salary breakdown for 11.0 LPA CTC: Basic (40-50%), HRA, Employee &amp; Employer PF, Gratuity, Professional Tax, and TDS deductions under the New Tax Regime, highlighting that actual take-home depends on specific employer salary structures.</t>
        </is>
      </c>
      <c r="L550" s="2" t="inlineStr">
        <is>
          <t>YES</t>
        </is>
      </c>
      <c r="M550" s="2" t="inlineStr">
        <is>
          <t>MEDIUM</t>
        </is>
      </c>
      <c r="N550" s="2" t="inlineStr">
        <is>
          <t>READY</t>
        </is>
      </c>
      <c r="O550" s="3" t="inlineStr"/>
      <c r="P550" s="3" t="inlineStr"/>
      <c r="Q550" s="3" t="inlineStr"/>
      <c r="R550" s="3" t="inlineStr"/>
    </row>
    <row r="551" ht="20" customHeight="1">
      <c r="A551" s="4" t="inlineStr">
        <is>
          <t>ST550</t>
        </is>
      </c>
      <c r="B551" s="5" t="inlineStr">
        <is>
          <t>12 LPA Salary Breakdown: Comprehensive In-Hand Salary and Tax Schedule</t>
        </is>
      </c>
      <c r="C551" s="4" t="inlineStr">
        <is>
          <t>Career</t>
        </is>
      </c>
      <c r="D551" s="5" t="inlineStr">
        <is>
          <t>CTC</t>
        </is>
      </c>
      <c r="E551" s="4" t="inlineStr">
        <is>
          <t>Explanation</t>
        </is>
      </c>
      <c r="F551" s="4" t="inlineStr">
        <is>
          <t>Educational</t>
        </is>
      </c>
      <c r="G551" s="5" t="inlineStr">
        <is>
          <t>12 lpa in hand salary</t>
        </is>
      </c>
      <c r="H551" s="5" t="inlineStr">
        <is>
          <t>12.0 lpa ctc in hand, 12.0 lakh per annum monthly salary, take home pay for 12.0 lpa</t>
        </is>
      </c>
      <c r="I551" s="5" t="inlineStr">
        <is>
          <t>CTC to In-Hand Salary Calculator</t>
        </is>
      </c>
      <c r="J551" s="5" t="inlineStr">
        <is>
          <t>/career/ctc-to-in-hand</t>
        </is>
      </c>
      <c r="K551" s="5" t="inlineStr">
        <is>
          <t>Provide a realistic Indian corporate salary breakdown for 12.0 LPA CTC: Basic (40-50%), HRA, Employee &amp; Employer PF, Gratuity, Professional Tax, and TDS deductions under the New Tax Regime, highlighting that actual take-home depends on specific employer salary structures.</t>
        </is>
      </c>
      <c r="L551" s="4" t="inlineStr">
        <is>
          <t>YES</t>
        </is>
      </c>
      <c r="M551" s="4" t="inlineStr">
        <is>
          <t>HIGH</t>
        </is>
      </c>
      <c r="N551" s="4" t="inlineStr">
        <is>
          <t>READY</t>
        </is>
      </c>
      <c r="O551" s="5" t="inlineStr"/>
      <c r="P551" s="5" t="inlineStr"/>
      <c r="Q551" s="5" t="inlineStr"/>
      <c r="R551" s="5" t="inlineStr"/>
    </row>
    <row r="552" ht="20" customHeight="1">
      <c r="A552" s="2" t="inlineStr">
        <is>
          <t>ST551</t>
        </is>
      </c>
      <c r="B552" s="3" t="inlineStr">
        <is>
          <t>13 LPA Salary Breakdown: Estimating Net Monthly Earnings for Experienced Techies</t>
        </is>
      </c>
      <c r="C552" s="2" t="inlineStr">
        <is>
          <t>Career</t>
        </is>
      </c>
      <c r="D552" s="3" t="inlineStr">
        <is>
          <t>CTC</t>
        </is>
      </c>
      <c r="E552" s="2" t="inlineStr">
        <is>
          <t>Explanation</t>
        </is>
      </c>
      <c r="F552" s="2" t="inlineStr">
        <is>
          <t>Educational</t>
        </is>
      </c>
      <c r="G552" s="3" t="inlineStr">
        <is>
          <t>13 lpa in hand salary</t>
        </is>
      </c>
      <c r="H552" s="3" t="inlineStr">
        <is>
          <t>13.0 lpa ctc in hand, 13.0 lakh per annum monthly salary, take home pay for 13.0 lpa</t>
        </is>
      </c>
      <c r="I552" s="3" t="inlineStr">
        <is>
          <t>CTC to In-Hand Salary Calculator</t>
        </is>
      </c>
      <c r="J552" s="3" t="inlineStr">
        <is>
          <t>/career/ctc-to-in-hand</t>
        </is>
      </c>
      <c r="K552" s="3" t="inlineStr">
        <is>
          <t>Provide a realistic Indian corporate salary breakdown for 13.0 LPA CTC: Basic (40-50%), HRA, Employee &amp; Employer PF, Gratuity, Professional Tax, and TDS deductions under the New Tax Regime, highlighting that actual take-home depends on specific employer salary structures.</t>
        </is>
      </c>
      <c r="L552" s="2" t="inlineStr">
        <is>
          <t>YES</t>
        </is>
      </c>
      <c r="M552" s="2" t="inlineStr">
        <is>
          <t>MEDIUM</t>
        </is>
      </c>
      <c r="N552" s="2" t="inlineStr">
        <is>
          <t>READY</t>
        </is>
      </c>
      <c r="O552" s="3" t="inlineStr"/>
      <c r="P552" s="3" t="inlineStr"/>
      <c r="Q552" s="3" t="inlineStr"/>
      <c r="R552" s="3" t="inlineStr"/>
    </row>
    <row r="553" ht="20" customHeight="1">
      <c r="A553" s="4" t="inlineStr">
        <is>
          <t>ST552</t>
        </is>
      </c>
      <c r="B553" s="5" t="inlineStr">
        <is>
          <t>14 LPA Salary Breakdown: Detailed Paycheck and Surcharge Analysis</t>
        </is>
      </c>
      <c r="C553" s="4" t="inlineStr">
        <is>
          <t>Career</t>
        </is>
      </c>
      <c r="D553" s="5" t="inlineStr">
        <is>
          <t>CTC</t>
        </is>
      </c>
      <c r="E553" s="4" t="inlineStr">
        <is>
          <t>Explanation</t>
        </is>
      </c>
      <c r="F553" s="4" t="inlineStr">
        <is>
          <t>Educational</t>
        </is>
      </c>
      <c r="G553" s="5" t="inlineStr">
        <is>
          <t>14 lpa in hand salary</t>
        </is>
      </c>
      <c r="H553" s="5" t="inlineStr">
        <is>
          <t>14.0 lpa ctc in hand, 14.0 lakh per annum monthly salary, take home pay for 14.0 lpa</t>
        </is>
      </c>
      <c r="I553" s="5" t="inlineStr">
        <is>
          <t>CTC to In-Hand Salary Calculator</t>
        </is>
      </c>
      <c r="J553" s="5" t="inlineStr">
        <is>
          <t>/career/ctc-to-in-hand</t>
        </is>
      </c>
      <c r="K553" s="5" t="inlineStr">
        <is>
          <t>Provide a realistic Indian corporate salary breakdown for 14.0 LPA CTC: Basic (40-50%), HRA, Employee &amp; Employer PF, Gratuity, Professional Tax, and TDS deductions under the New Tax Regime, highlighting that actual take-home depends on specific employer salary structures.</t>
        </is>
      </c>
      <c r="L553" s="4" t="inlineStr">
        <is>
          <t>YES</t>
        </is>
      </c>
      <c r="M553" s="4" t="inlineStr">
        <is>
          <t>MEDIUM</t>
        </is>
      </c>
      <c r="N553" s="4" t="inlineStr">
        <is>
          <t>READY</t>
        </is>
      </c>
      <c r="O553" s="5" t="inlineStr"/>
      <c r="P553" s="5" t="inlineStr"/>
      <c r="Q553" s="5" t="inlineStr"/>
      <c r="R553" s="5" t="inlineStr"/>
    </row>
    <row r="554" ht="20" customHeight="1">
      <c r="A554" s="2" t="inlineStr">
        <is>
          <t>ST553</t>
        </is>
      </c>
      <c r="B554" s="3" t="inlineStr">
        <is>
          <t>15 LPA Salary Breakdown: How Much In-Hand Monthly from a 15 Lakh Package?</t>
        </is>
      </c>
      <c r="C554" s="2" t="inlineStr">
        <is>
          <t>Career</t>
        </is>
      </c>
      <c r="D554" s="3" t="inlineStr">
        <is>
          <t>CTC</t>
        </is>
      </c>
      <c r="E554" s="2" t="inlineStr">
        <is>
          <t>Explanation</t>
        </is>
      </c>
      <c r="F554" s="2" t="inlineStr">
        <is>
          <t>Educational</t>
        </is>
      </c>
      <c r="G554" s="3" t="inlineStr">
        <is>
          <t>15 lpa in hand salary</t>
        </is>
      </c>
      <c r="H554" s="3" t="inlineStr">
        <is>
          <t>15.0 lpa ctc in hand, 15.0 lakh per annum monthly salary, take home pay for 15.0 lpa</t>
        </is>
      </c>
      <c r="I554" s="3" t="inlineStr">
        <is>
          <t>CTC to In-Hand Salary Calculator</t>
        </is>
      </c>
      <c r="J554" s="3" t="inlineStr">
        <is>
          <t>/career/ctc-to-in-hand</t>
        </is>
      </c>
      <c r="K554" s="3" t="inlineStr">
        <is>
          <t>Provide a realistic Indian corporate salary breakdown for 15.0 LPA CTC: Basic (40-50%), HRA, Employee &amp; Employer PF, Gratuity, Professional Tax, and TDS deductions under the New Tax Regime, highlighting that actual take-home depends on specific employer salary structures.</t>
        </is>
      </c>
      <c r="L554" s="2" t="inlineStr">
        <is>
          <t>YES</t>
        </is>
      </c>
      <c r="M554" s="2" t="inlineStr">
        <is>
          <t>HIGH</t>
        </is>
      </c>
      <c r="N554" s="2" t="inlineStr">
        <is>
          <t>READY</t>
        </is>
      </c>
      <c r="O554" s="3" t="inlineStr"/>
      <c r="P554" s="3" t="inlineStr"/>
      <c r="Q554" s="3" t="inlineStr"/>
      <c r="R554" s="3" t="inlineStr"/>
    </row>
    <row r="555" ht="20" customHeight="1">
      <c r="A555" s="4" t="inlineStr">
        <is>
          <t>ST554</t>
        </is>
      </c>
      <c r="B555" s="5" t="inlineStr">
        <is>
          <t>16 LPA Salary Breakdown: Senior Engineer Monthly Take-Home Breakdown</t>
        </is>
      </c>
      <c r="C555" s="4" t="inlineStr">
        <is>
          <t>Career</t>
        </is>
      </c>
      <c r="D555" s="5" t="inlineStr">
        <is>
          <t>CTC</t>
        </is>
      </c>
      <c r="E555" s="4" t="inlineStr">
        <is>
          <t>Explanation</t>
        </is>
      </c>
      <c r="F555" s="4" t="inlineStr">
        <is>
          <t>Educational</t>
        </is>
      </c>
      <c r="G555" s="5" t="inlineStr">
        <is>
          <t>16 lpa in hand salary</t>
        </is>
      </c>
      <c r="H555" s="5" t="inlineStr">
        <is>
          <t>16.0 lpa ctc in hand, 16.0 lakh per annum monthly salary, take home pay for 16.0 lpa</t>
        </is>
      </c>
      <c r="I555" s="5" t="inlineStr">
        <is>
          <t>CTC to In-Hand Salary Calculator</t>
        </is>
      </c>
      <c r="J555" s="5" t="inlineStr">
        <is>
          <t>/career/ctc-to-in-hand</t>
        </is>
      </c>
      <c r="K555" s="5" t="inlineStr">
        <is>
          <t>Provide a realistic Indian corporate salary breakdown for 16.0 LPA CTC: Basic (40-50%), HRA, Employee &amp; Employer PF, Gratuity, Professional Tax, and TDS deductions under the New Tax Regime, highlighting that actual take-home depends on specific employer salary structures.</t>
        </is>
      </c>
      <c r="L555" s="4" t="inlineStr">
        <is>
          <t>YES</t>
        </is>
      </c>
      <c r="M555" s="4" t="inlineStr">
        <is>
          <t>MEDIUM</t>
        </is>
      </c>
      <c r="N555" s="4" t="inlineStr">
        <is>
          <t>READY</t>
        </is>
      </c>
      <c r="O555" s="5" t="inlineStr"/>
      <c r="P555" s="5" t="inlineStr"/>
      <c r="Q555" s="5" t="inlineStr"/>
      <c r="R555" s="5" t="inlineStr"/>
    </row>
    <row r="556" ht="20" customHeight="1">
      <c r="A556" s="2" t="inlineStr">
        <is>
          <t>ST555</t>
        </is>
      </c>
      <c r="B556" s="3" t="inlineStr">
        <is>
          <t>18 LPA Salary Breakdown: In-Hand Salary After PF, Tax, and Variable Deductions</t>
        </is>
      </c>
      <c r="C556" s="2" t="inlineStr">
        <is>
          <t>Career</t>
        </is>
      </c>
      <c r="D556" s="3" t="inlineStr">
        <is>
          <t>CTC</t>
        </is>
      </c>
      <c r="E556" s="2" t="inlineStr">
        <is>
          <t>Explanation</t>
        </is>
      </c>
      <c r="F556" s="2" t="inlineStr">
        <is>
          <t>Educational</t>
        </is>
      </c>
      <c r="G556" s="3" t="inlineStr">
        <is>
          <t>18 lpa in hand salary</t>
        </is>
      </c>
      <c r="H556" s="3" t="inlineStr">
        <is>
          <t>18.0 lpa ctc in hand, 18.0 lakh per annum monthly salary, take home pay for 18.0 lpa</t>
        </is>
      </c>
      <c r="I556" s="3" t="inlineStr">
        <is>
          <t>CTC to In-Hand Salary Calculator</t>
        </is>
      </c>
      <c r="J556" s="3" t="inlineStr">
        <is>
          <t>/career/ctc-to-in-hand</t>
        </is>
      </c>
      <c r="K556" s="3" t="inlineStr">
        <is>
          <t>Provide a realistic Indian corporate salary breakdown for 18.0 LPA CTC: Basic (40-50%), HRA, Employee &amp; Employer PF, Gratuity, Professional Tax, and TDS deductions under the New Tax Regime, highlighting that actual take-home depends on specific employer salary structures.</t>
        </is>
      </c>
      <c r="L556" s="2" t="inlineStr">
        <is>
          <t>YES</t>
        </is>
      </c>
      <c r="M556" s="2" t="inlineStr">
        <is>
          <t>HIGH</t>
        </is>
      </c>
      <c r="N556" s="2" t="inlineStr">
        <is>
          <t>READY</t>
        </is>
      </c>
      <c r="O556" s="3" t="inlineStr"/>
      <c r="P556" s="3" t="inlineStr"/>
      <c r="Q556" s="3" t="inlineStr"/>
      <c r="R556" s="3" t="inlineStr"/>
    </row>
    <row r="557" ht="20" customHeight="1">
      <c r="A557" s="4" t="inlineStr">
        <is>
          <t>ST556</t>
        </is>
      </c>
      <c r="B557" s="5" t="inlineStr">
        <is>
          <t>20 LPA Salary Breakdown: Reality of a 20 Lakh CTC - Monthly In-Hand Dissected</t>
        </is>
      </c>
      <c r="C557" s="4" t="inlineStr">
        <is>
          <t>Career</t>
        </is>
      </c>
      <c r="D557" s="5" t="inlineStr">
        <is>
          <t>CTC</t>
        </is>
      </c>
      <c r="E557" s="4" t="inlineStr">
        <is>
          <t>Explanation</t>
        </is>
      </c>
      <c r="F557" s="4" t="inlineStr">
        <is>
          <t>Educational</t>
        </is>
      </c>
      <c r="G557" s="5" t="inlineStr">
        <is>
          <t>20 lpa in hand salary</t>
        </is>
      </c>
      <c r="H557" s="5" t="inlineStr">
        <is>
          <t>20.0 lpa ctc in hand, 20.0 lakh per annum monthly salary, take home pay for 20.0 lpa</t>
        </is>
      </c>
      <c r="I557" s="5" t="inlineStr">
        <is>
          <t>CTC to In-Hand Salary Calculator</t>
        </is>
      </c>
      <c r="J557" s="5" t="inlineStr">
        <is>
          <t>/career/ctc-to-in-hand</t>
        </is>
      </c>
      <c r="K557" s="5" t="inlineStr">
        <is>
          <t>Provide a realistic Indian corporate salary breakdown for 20.0 LPA CTC: Basic (40-50%), HRA, Employee &amp; Employer PF, Gratuity, Professional Tax, and TDS deductions under the New Tax Regime, highlighting that actual take-home depends on specific employer salary structures.</t>
        </is>
      </c>
      <c r="L557" s="4" t="inlineStr">
        <is>
          <t>YES</t>
        </is>
      </c>
      <c r="M557" s="4" t="inlineStr">
        <is>
          <t>HIGH</t>
        </is>
      </c>
      <c r="N557" s="4" t="inlineStr">
        <is>
          <t>READY</t>
        </is>
      </c>
      <c r="O557" s="5" t="inlineStr"/>
      <c r="P557" s="5" t="inlineStr"/>
      <c r="Q557" s="5" t="inlineStr"/>
      <c r="R557" s="5" t="inlineStr"/>
    </row>
    <row r="558" ht="20" customHeight="1">
      <c r="A558" s="2" t="inlineStr">
        <is>
          <t>ST557</t>
        </is>
      </c>
      <c r="B558" s="3" t="inlineStr">
        <is>
          <t>22 LPA Salary Breakdown: High-Earner Tax Slabs and Take-Home Paycheck</t>
        </is>
      </c>
      <c r="C558" s="2" t="inlineStr">
        <is>
          <t>Career</t>
        </is>
      </c>
      <c r="D558" s="3" t="inlineStr">
        <is>
          <t>CTC</t>
        </is>
      </c>
      <c r="E558" s="2" t="inlineStr">
        <is>
          <t>Explanation</t>
        </is>
      </c>
      <c r="F558" s="2" t="inlineStr">
        <is>
          <t>Educational</t>
        </is>
      </c>
      <c r="G558" s="3" t="inlineStr">
        <is>
          <t>22 lpa in hand salary</t>
        </is>
      </c>
      <c r="H558" s="3" t="inlineStr">
        <is>
          <t>22.0 lpa ctc in hand, 22.0 lakh per annum monthly salary, take home pay for 22.0 lpa</t>
        </is>
      </c>
      <c r="I558" s="3" t="inlineStr">
        <is>
          <t>CTC to In-Hand Salary Calculator</t>
        </is>
      </c>
      <c r="J558" s="3" t="inlineStr">
        <is>
          <t>/career/ctc-to-in-hand</t>
        </is>
      </c>
      <c r="K558" s="3" t="inlineStr">
        <is>
          <t>Provide a realistic Indian corporate salary breakdown for 22.0 LPA CTC: Basic (40-50%), HRA, Employee &amp; Employer PF, Gratuity, Professional Tax, and TDS deductions under the New Tax Regime, highlighting that actual take-home depends on specific employer salary structures.</t>
        </is>
      </c>
      <c r="L558" s="2" t="inlineStr">
        <is>
          <t>YES</t>
        </is>
      </c>
      <c r="M558" s="2" t="inlineStr">
        <is>
          <t>MEDIUM</t>
        </is>
      </c>
      <c r="N558" s="2" t="inlineStr">
        <is>
          <t>READY</t>
        </is>
      </c>
      <c r="O558" s="3" t="inlineStr"/>
      <c r="P558" s="3" t="inlineStr"/>
      <c r="Q558" s="3" t="inlineStr"/>
      <c r="R558" s="3" t="inlineStr"/>
    </row>
    <row r="559" ht="20" customHeight="1">
      <c r="A559" s="4" t="inlineStr">
        <is>
          <t>ST558</t>
        </is>
      </c>
      <c r="B559" s="5" t="inlineStr">
        <is>
          <t>25 LPA Salary Breakdown: Monthly In-Hand Pay, ESOP Exclusions, and High TDS</t>
        </is>
      </c>
      <c r="C559" s="4" t="inlineStr">
        <is>
          <t>Career</t>
        </is>
      </c>
      <c r="D559" s="5" t="inlineStr">
        <is>
          <t>CTC</t>
        </is>
      </c>
      <c r="E559" s="4" t="inlineStr">
        <is>
          <t>Explanation</t>
        </is>
      </c>
      <c r="F559" s="4" t="inlineStr">
        <is>
          <t>Educational</t>
        </is>
      </c>
      <c r="G559" s="5" t="inlineStr">
        <is>
          <t>25 lpa in hand salary</t>
        </is>
      </c>
      <c r="H559" s="5" t="inlineStr">
        <is>
          <t>25.0 lpa ctc in hand, 25.0 lakh per annum monthly salary, take home pay for 25.0 lpa</t>
        </is>
      </c>
      <c r="I559" s="5" t="inlineStr">
        <is>
          <t>CTC to In-Hand Salary Calculator</t>
        </is>
      </c>
      <c r="J559" s="5" t="inlineStr">
        <is>
          <t>/career/ctc-to-in-hand</t>
        </is>
      </c>
      <c r="K559" s="5" t="inlineStr">
        <is>
          <t>Provide a realistic Indian corporate salary breakdown for 25.0 LPA CTC: Basic (40-50%), HRA, Employee &amp; Employer PF, Gratuity, Professional Tax, and TDS deductions under the New Tax Regime, highlighting that actual take-home depends on specific employer salary structures.</t>
        </is>
      </c>
      <c r="L559" s="4" t="inlineStr">
        <is>
          <t>YES</t>
        </is>
      </c>
      <c r="M559" s="4" t="inlineStr">
        <is>
          <t>HIGH</t>
        </is>
      </c>
      <c r="N559" s="4" t="inlineStr">
        <is>
          <t>READY</t>
        </is>
      </c>
      <c r="O559" s="5" t="inlineStr"/>
      <c r="P559" s="5" t="inlineStr"/>
      <c r="Q559" s="5" t="inlineStr"/>
      <c r="R559" s="5" t="inlineStr"/>
    </row>
    <row r="560" ht="20" customHeight="1">
      <c r="A560" s="2" t="inlineStr">
        <is>
          <t>ST559</t>
        </is>
      </c>
      <c r="B560" s="3" t="inlineStr">
        <is>
          <t>30 LPA Salary Breakdown: Leadership Package Paycheck Analysis</t>
        </is>
      </c>
      <c r="C560" s="2" t="inlineStr">
        <is>
          <t>Career</t>
        </is>
      </c>
      <c r="D560" s="3" t="inlineStr">
        <is>
          <t>CTC</t>
        </is>
      </c>
      <c r="E560" s="2" t="inlineStr">
        <is>
          <t>Explanation</t>
        </is>
      </c>
      <c r="F560" s="2" t="inlineStr">
        <is>
          <t>Educational</t>
        </is>
      </c>
      <c r="G560" s="3" t="inlineStr">
        <is>
          <t>30 lpa in hand salary</t>
        </is>
      </c>
      <c r="H560" s="3" t="inlineStr">
        <is>
          <t>30.0 lpa ctc in hand, 30.0 lakh per annum monthly salary, take home pay for 30.0 lpa</t>
        </is>
      </c>
      <c r="I560" s="3" t="inlineStr">
        <is>
          <t>CTC to In-Hand Salary Calculator</t>
        </is>
      </c>
      <c r="J560" s="3" t="inlineStr">
        <is>
          <t>/career/ctc-to-in-hand</t>
        </is>
      </c>
      <c r="K560" s="3" t="inlineStr">
        <is>
          <t>Provide a realistic Indian corporate salary breakdown for 30.0 LPA CTC: Basic (40-50%), HRA, Employee &amp; Employer PF, Gratuity, Professional Tax, and TDS deductions under the New Tax Regime, highlighting that actual take-home depends on specific employer salary structures.</t>
        </is>
      </c>
      <c r="L560" s="2" t="inlineStr">
        <is>
          <t>YES</t>
        </is>
      </c>
      <c r="M560" s="2" t="inlineStr">
        <is>
          <t>HIGH</t>
        </is>
      </c>
      <c r="N560" s="2" t="inlineStr">
        <is>
          <t>READY</t>
        </is>
      </c>
      <c r="O560" s="3" t="inlineStr"/>
      <c r="P560" s="3" t="inlineStr"/>
      <c r="Q560" s="3" t="inlineStr"/>
      <c r="R560" s="3" t="inlineStr"/>
    </row>
    <row r="561" ht="20" customHeight="1">
      <c r="A561" s="4" t="inlineStr">
        <is>
          <t>ST560</t>
        </is>
      </c>
      <c r="B561" s="5" t="inlineStr">
        <is>
          <t>35 LPA Salary Breakdown: Monthly In-Hand Reality for Lead Roles in India</t>
        </is>
      </c>
      <c r="C561" s="4" t="inlineStr">
        <is>
          <t>Career</t>
        </is>
      </c>
      <c r="D561" s="5" t="inlineStr">
        <is>
          <t>CTC</t>
        </is>
      </c>
      <c r="E561" s="4" t="inlineStr">
        <is>
          <t>Explanation</t>
        </is>
      </c>
      <c r="F561" s="4" t="inlineStr">
        <is>
          <t>Educational</t>
        </is>
      </c>
      <c r="G561" s="5" t="inlineStr">
        <is>
          <t>35 lpa in hand salary</t>
        </is>
      </c>
      <c r="H561" s="5" t="inlineStr">
        <is>
          <t>35.0 lpa ctc in hand, 35.0 lakh per annum monthly salary, take home pay for 35.0 lpa</t>
        </is>
      </c>
      <c r="I561" s="5" t="inlineStr">
        <is>
          <t>CTC to In-Hand Salary Calculator</t>
        </is>
      </c>
      <c r="J561" s="5" t="inlineStr">
        <is>
          <t>/career/ctc-to-in-hand</t>
        </is>
      </c>
      <c r="K561" s="5" t="inlineStr">
        <is>
          <t>Provide a realistic Indian corporate salary breakdown for 35.0 LPA CTC: Basic (40-50%), HRA, Employee &amp; Employer PF, Gratuity, Professional Tax, and TDS deductions under the New Tax Regime, highlighting that actual take-home depends on specific employer salary structures.</t>
        </is>
      </c>
      <c r="L561" s="4" t="inlineStr">
        <is>
          <t>YES</t>
        </is>
      </c>
      <c r="M561" s="4" t="inlineStr">
        <is>
          <t>MEDIUM</t>
        </is>
      </c>
      <c r="N561" s="4" t="inlineStr">
        <is>
          <t>READY</t>
        </is>
      </c>
      <c r="O561" s="5" t="inlineStr"/>
      <c r="P561" s="5" t="inlineStr"/>
      <c r="Q561" s="5" t="inlineStr"/>
      <c r="R561" s="5" t="inlineStr"/>
    </row>
    <row r="562" ht="20" customHeight="1">
      <c r="A562" s="2" t="inlineStr">
        <is>
          <t>ST561</t>
        </is>
      </c>
      <c r="B562" s="3" t="inlineStr">
        <is>
          <t>Understanding Flexible Benefit Plan (FBP) in CTC: Meal Cards, Fuel, and Books</t>
        </is>
      </c>
      <c r="C562" s="2" t="inlineStr">
        <is>
          <t>Career</t>
        </is>
      </c>
      <c r="D562" s="3" t="inlineStr">
        <is>
          <t>CTC</t>
        </is>
      </c>
      <c r="E562" s="2" t="inlineStr">
        <is>
          <t>Guide</t>
        </is>
      </c>
      <c r="F562" s="2" t="inlineStr">
        <is>
          <t>How-To</t>
        </is>
      </c>
      <c r="G562" s="3" t="inlineStr">
        <is>
          <t>flexible benefit plan in ctc</t>
        </is>
      </c>
      <c r="H562" s="3" t="inlineStr">
        <is>
          <t>fbp components salary, tax saving allowances fbp, meal coupon tax exemption</t>
        </is>
      </c>
      <c r="I562" s="3" t="inlineStr">
        <is>
          <t>CTC to In-Hand Salary Calculator</t>
        </is>
      </c>
      <c r="J562" s="3" t="inlineStr">
        <is>
          <t>/career/ctc-to-in-hand</t>
        </is>
      </c>
      <c r="K562" s="3" t="inlineStr">
        <is>
          <t>Explain how FBP allows employees to restructure part of special allowance into non-taxable reimbursements (food coupons, fuel, driver salary, telephone).</t>
        </is>
      </c>
      <c r="L562" s="2" t="inlineStr">
        <is>
          <t>YES</t>
        </is>
      </c>
      <c r="M562" s="2" t="inlineStr">
        <is>
          <t>MEDIUM</t>
        </is>
      </c>
      <c r="N562" s="2" t="inlineStr">
        <is>
          <t>READY</t>
        </is>
      </c>
      <c r="O562" s="3" t="inlineStr"/>
      <c r="P562" s="3" t="inlineStr"/>
      <c r="Q562" s="3" t="inlineStr"/>
      <c r="R562" s="3" t="inlineStr"/>
    </row>
    <row r="563" ht="20" customHeight="1">
      <c r="A563" s="4" t="inlineStr">
        <is>
          <t>ST562</t>
        </is>
      </c>
      <c r="B563" s="5" t="inlineStr">
        <is>
          <t>ESOPs (Employee Stock Options) in CTC: Why Paper Money Is Not Monthly Salary</t>
        </is>
      </c>
      <c r="C563" s="4" t="inlineStr">
        <is>
          <t>Career</t>
        </is>
      </c>
      <c r="D563" s="5" t="inlineStr">
        <is>
          <t>CTC</t>
        </is>
      </c>
      <c r="E563" s="4" t="inlineStr">
        <is>
          <t>Explanation</t>
        </is>
      </c>
      <c r="F563" s="4" t="inlineStr">
        <is>
          <t>Educational</t>
        </is>
      </c>
      <c r="G563" s="5" t="inlineStr">
        <is>
          <t>esops in ctc explained</t>
        </is>
      </c>
      <c r="H563" s="5" t="inlineStr">
        <is>
          <t>stock options vs cash salary, vesting schedule esops, esop taxation in india</t>
        </is>
      </c>
      <c r="I563" s="5" t="inlineStr">
        <is>
          <t>CTC to In-Hand Salary Calculator</t>
        </is>
      </c>
      <c r="J563" s="5" t="inlineStr">
        <is>
          <t>/career/ctc-to-in-hand</t>
        </is>
      </c>
      <c r="K563" s="5" t="inlineStr">
        <is>
          <t>Deconstruct startup offer letters: why Rs 25 LPA CTC with Rs 10 Lakh ESOPs vests over 4 years with a 1-year cliff, reducing guaranteed first-year cash flow.</t>
        </is>
      </c>
      <c r="L563" s="4" t="inlineStr">
        <is>
          <t>YES</t>
        </is>
      </c>
      <c r="M563" s="4" t="inlineStr">
        <is>
          <t>HIGH</t>
        </is>
      </c>
      <c r="N563" s="4" t="inlineStr">
        <is>
          <t>READY</t>
        </is>
      </c>
      <c r="O563" s="5" t="inlineStr"/>
      <c r="P563" s="5" t="inlineStr"/>
      <c r="Q563" s="5" t="inlineStr"/>
      <c r="R563" s="5" t="inlineStr"/>
    </row>
    <row r="564" ht="20" customHeight="1">
      <c r="A564" s="2" t="inlineStr">
        <is>
          <t>ST563</t>
        </is>
      </c>
      <c r="B564" s="3" t="inlineStr">
        <is>
          <t>Joining Bonus in Offer Letters: Clawback Clauses and Tax Deduction Reality</t>
        </is>
      </c>
      <c r="C564" s="2" t="inlineStr">
        <is>
          <t>Career</t>
        </is>
      </c>
      <c r="D564" s="3" t="inlineStr">
        <is>
          <t>CTC</t>
        </is>
      </c>
      <c r="E564" s="2" t="inlineStr">
        <is>
          <t>Guide</t>
        </is>
      </c>
      <c r="F564" s="2" t="inlineStr">
        <is>
          <t>Reference</t>
        </is>
      </c>
      <c r="G564" s="3" t="inlineStr">
        <is>
          <t>joining bonus clawback clause</t>
        </is>
      </c>
      <c r="H564" s="3" t="inlineStr">
        <is>
          <t>joining bonus tax deduction, repayment of joining bonus on resigning, net joining bonus</t>
        </is>
      </c>
      <c r="I564" s="3" t="inlineStr">
        <is>
          <t>CTC to In-Hand Salary Calculator</t>
        </is>
      </c>
      <c r="J564" s="3" t="inlineStr">
        <is>
          <t>/career/ctc-to-in-hand</t>
        </is>
      </c>
      <c r="K564" s="3" t="inlineStr">
        <is>
          <t>Explain how joining bonuses are taxed at slab rates in the month of payout and the financial danger of 1-year to 2-year repayment clawback agreements.</t>
        </is>
      </c>
      <c r="L564" s="2" t="inlineStr">
        <is>
          <t>YES</t>
        </is>
      </c>
      <c r="M564" s="2" t="inlineStr">
        <is>
          <t>HIGH</t>
        </is>
      </c>
      <c r="N564" s="2" t="inlineStr">
        <is>
          <t>READY</t>
        </is>
      </c>
      <c r="O564" s="3" t="inlineStr"/>
      <c r="P564" s="3" t="inlineStr"/>
      <c r="Q564" s="3" t="inlineStr"/>
      <c r="R564" s="3" t="inlineStr"/>
    </row>
    <row r="565" ht="20" customHeight="1">
      <c r="A565" s="4" t="inlineStr">
        <is>
          <t>ST564</t>
        </is>
      </c>
      <c r="B565" s="5" t="inlineStr">
        <is>
          <t>Standard Deduction of Rs 75,000 in Indian Salary: Who Is Eligible and How It Saves Tax</t>
        </is>
      </c>
      <c r="C565" s="4" t="inlineStr">
        <is>
          <t>Career</t>
        </is>
      </c>
      <c r="D565" s="5" t="inlineStr">
        <is>
          <t>CTC</t>
        </is>
      </c>
      <c r="E565" s="4" t="inlineStr">
        <is>
          <t>Guide</t>
        </is>
      </c>
      <c r="F565" s="4" t="inlineStr">
        <is>
          <t>Reference</t>
        </is>
      </c>
      <c r="G565" s="5" t="inlineStr">
        <is>
          <t>standard deduction 75000 for salaried employees</t>
        </is>
      </c>
      <c r="H565" s="5" t="inlineStr">
        <is>
          <t>standard deduction budget update, how standard deduction reduces taxable income, salaried tax benefit</t>
        </is>
      </c>
      <c r="I565" s="5" t="inlineStr">
        <is>
          <t>CTC to In-Hand Salary Calculator</t>
        </is>
      </c>
      <c r="J565" s="5" t="inlineStr">
        <is>
          <t>/career/ctc-to-in-hand</t>
        </is>
      </c>
      <c r="K565" s="5" t="inlineStr">
        <is>
          <t>Detail the flat statutory deduction available to all salaried individuals under both New and Old Tax Regimes without requiring any expense bills or proofs.</t>
        </is>
      </c>
      <c r="L565" s="4" t="inlineStr">
        <is>
          <t>YES</t>
        </is>
      </c>
      <c r="M565" s="4" t="inlineStr">
        <is>
          <t>HIGH</t>
        </is>
      </c>
      <c r="N565" s="4" t="inlineStr">
        <is>
          <t>READY</t>
        </is>
      </c>
      <c r="O565" s="5" t="inlineStr"/>
      <c r="P565" s="5" t="inlineStr"/>
      <c r="Q565" s="5" t="inlineStr"/>
      <c r="R565" s="5" t="inlineStr"/>
    </row>
    <row r="566" ht="20" customHeight="1">
      <c r="A566" s="2" t="inlineStr">
        <is>
          <t>ST565</t>
        </is>
      </c>
      <c r="B566" s="3" t="inlineStr">
        <is>
          <t>Leave Encashment: How Earned Leaves Are Calculated and Tax Exemption Limits</t>
        </is>
      </c>
      <c r="C566" s="2" t="inlineStr">
        <is>
          <t>Career</t>
        </is>
      </c>
      <c r="D566" s="3" t="inlineStr">
        <is>
          <t>CTC</t>
        </is>
      </c>
      <c r="E566" s="2" t="inlineStr">
        <is>
          <t>Formula Guide</t>
        </is>
      </c>
      <c r="F566" s="2" t="inlineStr">
        <is>
          <t>Reference</t>
        </is>
      </c>
      <c r="G566" s="3" t="inlineStr">
        <is>
          <t>leave encashment calculation formula</t>
        </is>
      </c>
      <c r="H566" s="3" t="inlineStr">
        <is>
          <t>earned leave encashment on resignation, section 10 10aa exemption, leave salary calculation</t>
        </is>
      </c>
      <c r="I566" s="3" t="inlineStr">
        <is>
          <t>CTC to In-Hand Salary Calculator</t>
        </is>
      </c>
      <c r="J566" s="3" t="inlineStr">
        <is>
          <t>/career/ctc-to-in-hand</t>
        </is>
      </c>
      <c r="K566" s="3" t="inlineStr">
        <is>
          <t>Explain the calculation formula: (Basic + DA) / 30 * Unutilized Earned Leaves, and the revised Rs 25 Lakh lifetime tax exemption limit for private employees.</t>
        </is>
      </c>
      <c r="L566" s="2" t="inlineStr">
        <is>
          <t>YES</t>
        </is>
      </c>
      <c r="M566" s="2" t="inlineStr">
        <is>
          <t>HIGH</t>
        </is>
      </c>
      <c r="N566" s="2" t="inlineStr">
        <is>
          <t>READY</t>
        </is>
      </c>
      <c r="O566" s="3" t="inlineStr"/>
      <c r="P566" s="3" t="inlineStr"/>
      <c r="Q566" s="3" t="inlineStr"/>
      <c r="R566" s="3" t="inlineStr"/>
    </row>
    <row r="567" ht="20" customHeight="1">
      <c r="A567" s="4" t="inlineStr">
        <is>
          <t>ST566</t>
        </is>
      </c>
      <c r="B567" s="5" t="inlineStr">
        <is>
          <t>Notice Period Buyout: Taxation and Impact on Your Final Settlement (F&amp;F)</t>
        </is>
      </c>
      <c r="C567" s="4" t="inlineStr">
        <is>
          <t>Career</t>
        </is>
      </c>
      <c r="D567" s="5" t="inlineStr">
        <is>
          <t>CTC</t>
        </is>
      </c>
      <c r="E567" s="4" t="inlineStr">
        <is>
          <t>Guide</t>
        </is>
      </c>
      <c r="F567" s="4" t="inlineStr">
        <is>
          <t>How-To</t>
        </is>
      </c>
      <c r="G567" s="5" t="inlineStr">
        <is>
          <t>notice period buyout tax calculation</t>
        </is>
      </c>
      <c r="H567" s="5" t="inlineStr">
        <is>
          <t>short notice recovery salary slip, gst on notice period buyout, fnf settlement deductions</t>
        </is>
      </c>
      <c r="I567" s="5" t="inlineStr">
        <is>
          <t>CTC to In-Hand Salary Calculator</t>
        </is>
      </c>
      <c r="J567" s="5" t="inlineStr">
        <is>
          <t>/career/ctc-to-in-hand</t>
        </is>
      </c>
      <c r="K567" s="5" t="inlineStr">
        <is>
          <t>Explain how employers recover salary for unserved notice days from final settlement and whether new employers paying the buyout treat it as taxable income.</t>
        </is>
      </c>
      <c r="L567" s="4" t="inlineStr">
        <is>
          <t>YES</t>
        </is>
      </c>
      <c r="M567" s="4" t="inlineStr">
        <is>
          <t>MEDIUM</t>
        </is>
      </c>
      <c r="N567" s="4" t="inlineStr">
        <is>
          <t>READY</t>
        </is>
      </c>
      <c r="O567" s="5" t="inlineStr"/>
      <c r="P567" s="5" t="inlineStr"/>
      <c r="Q567" s="5" t="inlineStr"/>
      <c r="R567" s="5" t="inlineStr"/>
    </row>
    <row r="568" ht="20" customHeight="1">
      <c r="A568" s="2" t="inlineStr">
        <is>
          <t>ST567</t>
        </is>
      </c>
      <c r="B568" s="3" t="inlineStr">
        <is>
          <t>How Group Medical Insurance Premiums in CTC Impact Your Take-Home Salary</t>
        </is>
      </c>
      <c r="C568" s="2" t="inlineStr">
        <is>
          <t>Career</t>
        </is>
      </c>
      <c r="D568" s="3" t="inlineStr">
        <is>
          <t>CTC</t>
        </is>
      </c>
      <c r="E568" s="2" t="inlineStr">
        <is>
          <t>Explanation</t>
        </is>
      </c>
      <c r="F568" s="2" t="inlineStr">
        <is>
          <t>Informational</t>
        </is>
      </c>
      <c r="G568" s="3" t="inlineStr">
        <is>
          <t>corporate health insurance deduction in salary</t>
        </is>
      </c>
      <c r="H568" s="3" t="inlineStr">
        <is>
          <t>gmc premium in ctc, parental health insurance salary deduction, group medical tax exemption</t>
        </is>
      </c>
      <c r="I568" s="3" t="inlineStr">
        <is>
          <t>CTC to In-Hand Salary Calculator</t>
        </is>
      </c>
      <c r="J568" s="3" t="inlineStr">
        <is>
          <t>/career/ctc-to-in-hand</t>
        </is>
      </c>
      <c r="K568" s="3" t="inlineStr">
        <is>
          <t>Explain employer-sponsored group health covers (GMC/GPA) included in CTC and voluntary co-pay deductions for including parents.</t>
        </is>
      </c>
      <c r="L568" s="2" t="inlineStr">
        <is>
          <t>YES</t>
        </is>
      </c>
      <c r="M568" s="2" t="inlineStr">
        <is>
          <t>LOW</t>
        </is>
      </c>
      <c r="N568" s="2" t="inlineStr">
        <is>
          <t>READY</t>
        </is>
      </c>
      <c r="O568" s="3" t="inlineStr"/>
      <c r="P568" s="3" t="inlineStr"/>
      <c r="Q568" s="3" t="inlineStr"/>
      <c r="R568" s="3" t="inlineStr"/>
    </row>
    <row r="569" ht="20" customHeight="1">
      <c r="A569" s="4" t="inlineStr">
        <is>
          <t>ST568</t>
        </is>
      </c>
      <c r="B569" s="5" t="inlineStr">
        <is>
          <t>How to Read Your First Payslip: Line-by-Line Guide for Campus Recruits</t>
        </is>
      </c>
      <c r="C569" s="4" t="inlineStr">
        <is>
          <t>Career</t>
        </is>
      </c>
      <c r="D569" s="5" t="inlineStr">
        <is>
          <t>CTC</t>
        </is>
      </c>
      <c r="E569" s="4" t="inlineStr">
        <is>
          <t>Guide</t>
        </is>
      </c>
      <c r="F569" s="4" t="inlineStr">
        <is>
          <t>How-To</t>
        </is>
      </c>
      <c r="G569" s="5" t="inlineStr">
        <is>
          <t>how to read salary slip for first job</t>
        </is>
      </c>
      <c r="H569" s="5" t="inlineStr">
        <is>
          <t>first payslip explanation, understanding salary slip earnings and deductions, fresher salary guide</t>
        </is>
      </c>
      <c r="I569" s="5" t="inlineStr">
        <is>
          <t>CTC to In-Hand Salary Calculator</t>
        </is>
      </c>
      <c r="J569" s="5" t="inlineStr">
        <is>
          <t>/career/ctc-to-in-hand</t>
        </is>
      </c>
      <c r="K569" s="5" t="inlineStr">
        <is>
          <t>A beginner-friendly visual walkthrough for fresh college graduates deciphering Basic, HRA, Medical, PF, PT, TDS, and Net Pay.</t>
        </is>
      </c>
      <c r="L569" s="4" t="inlineStr">
        <is>
          <t>YES</t>
        </is>
      </c>
      <c r="M569" s="4" t="inlineStr">
        <is>
          <t>HIGH</t>
        </is>
      </c>
      <c r="N569" s="4" t="inlineStr">
        <is>
          <t>READY</t>
        </is>
      </c>
      <c r="O569" s="5" t="inlineStr"/>
      <c r="P569" s="5" t="inlineStr"/>
      <c r="Q569" s="5" t="inlineStr"/>
      <c r="R569" s="5" t="inlineStr"/>
    </row>
    <row r="570" ht="20" customHeight="1">
      <c r="A570" s="2" t="inlineStr">
        <is>
          <t>ST569</t>
        </is>
      </c>
      <c r="B570" s="3" t="inlineStr">
        <is>
          <t>Why Taking Fixed Salary Over Variable Pay Is Usually Safer for Junior Employees</t>
        </is>
      </c>
      <c r="C570" s="2" t="inlineStr">
        <is>
          <t>Career</t>
        </is>
      </c>
      <c r="D570" s="3" t="inlineStr">
        <is>
          <t>CTC</t>
        </is>
      </c>
      <c r="E570" s="2" t="inlineStr">
        <is>
          <t>Guide</t>
        </is>
      </c>
      <c r="F570" s="2" t="inlineStr">
        <is>
          <t>Planning</t>
        </is>
      </c>
      <c r="G570" s="3" t="inlineStr">
        <is>
          <t>fixed vs variable salary comparison</t>
        </is>
      </c>
      <c r="H570" s="3" t="inlineStr">
        <is>
          <t>negotiating fixed ctc, why variable pay gets cut, guaranteed monthly income</t>
        </is>
      </c>
      <c r="I570" s="3" t="inlineStr">
        <is>
          <t>CTC to In-Hand Salary Calculator</t>
        </is>
      </c>
      <c r="J570" s="3" t="inlineStr">
        <is>
          <t>/career/ctc-to-in-hand</t>
        </is>
      </c>
      <c r="K570" s="3" t="inlineStr">
        <is>
          <t>Argue why early-career professionals should negotiate higher fixed components to establish predictable monthly budgets and loan repayment capacity.</t>
        </is>
      </c>
      <c r="L570" s="2" t="inlineStr">
        <is>
          <t>YES</t>
        </is>
      </c>
      <c r="M570" s="2" t="inlineStr">
        <is>
          <t>HIGH</t>
        </is>
      </c>
      <c r="N570" s="2" t="inlineStr">
        <is>
          <t>READY</t>
        </is>
      </c>
      <c r="O570" s="3" t="inlineStr"/>
      <c r="P570" s="3" t="inlineStr"/>
      <c r="Q570" s="3" t="inlineStr"/>
      <c r="R570" s="3" t="inlineStr"/>
    </row>
    <row r="571" ht="20" customHeight="1">
      <c r="A571" s="4" t="inlineStr">
        <is>
          <t>ST570</t>
        </is>
      </c>
      <c r="B571" s="5" t="inlineStr">
        <is>
          <t>What Is Loss of Pay (LOP) and How Does It Reduce Your Monthly Paycheck?</t>
        </is>
      </c>
      <c r="C571" s="4" t="inlineStr">
        <is>
          <t>Career</t>
        </is>
      </c>
      <c r="D571" s="5" t="inlineStr">
        <is>
          <t>CTC</t>
        </is>
      </c>
      <c r="E571" s="4" t="inlineStr">
        <is>
          <t>Formula Guide</t>
        </is>
      </c>
      <c r="F571" s="4" t="inlineStr">
        <is>
          <t>How-To</t>
        </is>
      </c>
      <c r="G571" s="5" t="inlineStr">
        <is>
          <t>loss of pay calculation formula</t>
        </is>
      </c>
      <c r="H571" s="5" t="inlineStr">
        <is>
          <t>lop deduction in salary slip, unpaid leave salary calculation, how lop affects basic and hra</t>
        </is>
      </c>
      <c r="I571" s="5" t="inlineStr">
        <is>
          <t>CTC to In-Hand Salary Calculator</t>
        </is>
      </c>
      <c r="J571" s="5" t="inlineStr">
        <is>
          <t>/career/ctc-to-in-hand</t>
        </is>
      </c>
      <c r="K571" s="5" t="inlineStr">
        <is>
          <t>Formula: Per Day Salary = Monthly Gross / Days in Month. Calculate exact pro-rata deduction when an employee exhausts available paid leave balances.</t>
        </is>
      </c>
      <c r="L571" s="4" t="inlineStr">
        <is>
          <t>YES</t>
        </is>
      </c>
      <c r="M571" s="4" t="inlineStr">
        <is>
          <t>HIGH</t>
        </is>
      </c>
      <c r="N571" s="4" t="inlineStr">
        <is>
          <t>READY</t>
        </is>
      </c>
      <c r="O571" s="5" t="inlineStr"/>
      <c r="P571" s="5" t="inlineStr"/>
      <c r="Q571" s="5" t="inlineStr"/>
      <c r="R571" s="5" t="inlineStr"/>
    </row>
    <row r="572" ht="20" customHeight="1">
      <c r="A572" s="2" t="inlineStr">
        <is>
          <t>ST571</t>
        </is>
      </c>
      <c r="B572" s="3" t="inlineStr">
        <is>
          <t>How Employer PF Contribution Is Included in CTC: The Statutory Myth Debunked</t>
        </is>
      </c>
      <c r="C572" s="2" t="inlineStr">
        <is>
          <t>Career</t>
        </is>
      </c>
      <c r="D572" s="3" t="inlineStr">
        <is>
          <t>CTC</t>
        </is>
      </c>
      <c r="E572" s="2" t="inlineStr">
        <is>
          <t>Explanation</t>
        </is>
      </c>
      <c r="F572" s="2" t="inlineStr">
        <is>
          <t>Educational</t>
        </is>
      </c>
      <c r="G572" s="3" t="inlineStr">
        <is>
          <t>employer pf contribution in ctc</t>
        </is>
      </c>
      <c r="H572" s="3" t="inlineStr">
        <is>
          <t>is employer pf part of ctc, 12 percent pf employer share, double pf deduction myth</t>
        </is>
      </c>
      <c r="I572" s="3" t="inlineStr">
        <is>
          <t>CTC to In-Hand Salary Calculator</t>
        </is>
      </c>
      <c r="J572" s="3" t="inlineStr">
        <is>
          <t>/career/ctc-to-in-hand</t>
        </is>
      </c>
      <c r="K572" s="3" t="inlineStr">
        <is>
          <t>Clarify the common shock: although the law mandates employers contribute 12% to PF, in Indian private companies this cost is funded entirely from the employee's CTC.</t>
        </is>
      </c>
      <c r="L572" s="2" t="inlineStr">
        <is>
          <t>YES</t>
        </is>
      </c>
      <c r="M572" s="2" t="inlineStr">
        <is>
          <t>HIGH</t>
        </is>
      </c>
      <c r="N572" s="2" t="inlineStr">
        <is>
          <t>READY</t>
        </is>
      </c>
      <c r="O572" s="3" t="inlineStr"/>
      <c r="P572" s="3" t="inlineStr"/>
      <c r="Q572" s="3" t="inlineStr"/>
      <c r="R572" s="3" t="inlineStr"/>
    </row>
    <row r="573" ht="20" customHeight="1">
      <c r="A573" s="4" t="inlineStr">
        <is>
          <t>ST572</t>
        </is>
      </c>
      <c r="B573" s="5" t="inlineStr">
        <is>
          <t>What Is Overtime Pay in Indian Labour Law: Calculation and Eligibility</t>
        </is>
      </c>
      <c r="C573" s="4" t="inlineStr">
        <is>
          <t>Career</t>
        </is>
      </c>
      <c r="D573" s="5" t="inlineStr">
        <is>
          <t>CTC</t>
        </is>
      </c>
      <c r="E573" s="4" t="inlineStr">
        <is>
          <t>Guide</t>
        </is>
      </c>
      <c r="F573" s="4" t="inlineStr">
        <is>
          <t>Reference</t>
        </is>
      </c>
      <c r="G573" s="5" t="inlineStr">
        <is>
          <t>overtime pay calculation formula india</t>
        </is>
      </c>
      <c r="H573" s="5" t="inlineStr">
        <is>
          <t>factories act overtime rules, double ordinary rate of wages, it employee overtime eligibility</t>
        </is>
      </c>
      <c r="I573" s="5" t="inlineStr">
        <is>
          <t>CTC to In-Hand Salary Calculator</t>
        </is>
      </c>
      <c r="J573" s="5" t="inlineStr">
        <is>
          <t>/career/ctc-to-in-hand</t>
        </is>
      </c>
      <c r="K573" s="5" t="inlineStr">
        <is>
          <t>Review Factories Act Section 59 guidelines (double the normal hourly wage) and explain why IT/white-collar managerial professionals are generally exempt.</t>
        </is>
      </c>
      <c r="L573" s="4" t="inlineStr">
        <is>
          <t>YES</t>
        </is>
      </c>
      <c r="M573" s="4" t="inlineStr">
        <is>
          <t>MEDIUM</t>
        </is>
      </c>
      <c r="N573" s="4" t="inlineStr">
        <is>
          <t>READY</t>
        </is>
      </c>
      <c r="O573" s="5" t="inlineStr"/>
      <c r="P573" s="5" t="inlineStr"/>
      <c r="Q573" s="5" t="inlineStr"/>
      <c r="R573" s="5" t="inlineStr"/>
    </row>
    <row r="574" ht="20" customHeight="1">
      <c r="A574" s="2" t="inlineStr">
        <is>
          <t>ST573</t>
        </is>
      </c>
      <c r="B574" s="3" t="inlineStr">
        <is>
          <t>How Relocation Allowance Is Paid and Taxed in Indian Corporate Jobs</t>
        </is>
      </c>
      <c r="C574" s="2" t="inlineStr">
        <is>
          <t>Career</t>
        </is>
      </c>
      <c r="D574" s="3" t="inlineStr">
        <is>
          <t>CTC</t>
        </is>
      </c>
      <c r="E574" s="2" t="inlineStr">
        <is>
          <t>Guide</t>
        </is>
      </c>
      <c r="F574" s="2" t="inlineStr">
        <is>
          <t>Informational</t>
        </is>
      </c>
      <c r="G574" s="3" t="inlineStr">
        <is>
          <t>relocation allowance in offer letter</t>
        </is>
      </c>
      <c r="H574" s="3" t="inlineStr">
        <is>
          <t>relocation reimbursement tax exemption, moving expenses salary bill, relocation clawback</t>
        </is>
      </c>
      <c r="I574" s="3" t="inlineStr">
        <is>
          <t>CTC to In-Hand Salary Calculator</t>
        </is>
      </c>
      <c r="J574" s="3" t="inlineStr">
        <is>
          <t>/career/ctc-to-in-hand</t>
        </is>
      </c>
      <c r="K574" s="3" t="inlineStr">
        <is>
          <t>Distinguish between tax-free expense reimbursements against actual packers-and-movers invoices vs flat taxable relocation lumpsums.</t>
        </is>
      </c>
      <c r="L574" s="2" t="inlineStr">
        <is>
          <t>YES</t>
        </is>
      </c>
      <c r="M574" s="2" t="inlineStr">
        <is>
          <t>MEDIUM</t>
        </is>
      </c>
      <c r="N574" s="2" t="inlineStr">
        <is>
          <t>READY</t>
        </is>
      </c>
      <c r="O574" s="3" t="inlineStr"/>
      <c r="P574" s="3" t="inlineStr"/>
      <c r="Q574" s="3" t="inlineStr"/>
      <c r="R574" s="3" t="inlineStr"/>
    </row>
    <row r="575" ht="20" customHeight="1">
      <c r="A575" s="4" t="inlineStr">
        <is>
          <t>ST574</t>
        </is>
      </c>
      <c r="B575" s="5" t="inlineStr">
        <is>
          <t>Understanding Section 87A Tax Rebate: Zero Tax for Incomes Up to Rs 7 Lakh / 7.5 Lakh</t>
        </is>
      </c>
      <c r="C575" s="4" t="inlineStr">
        <is>
          <t>Career</t>
        </is>
      </c>
      <c r="D575" s="5" t="inlineStr">
        <is>
          <t>CTC</t>
        </is>
      </c>
      <c r="E575" s="4" t="inlineStr">
        <is>
          <t>Guide</t>
        </is>
      </c>
      <c r="F575" s="4" t="inlineStr">
        <is>
          <t>Reference</t>
        </is>
      </c>
      <c r="G575" s="5" t="inlineStr">
        <is>
          <t>section 87a rebate salary calculation</t>
        </is>
      </c>
      <c r="H575" s="5" t="inlineStr">
        <is>
          <t>zero tax on 7 lakh income, how section 87a works in new regime, tax rebate salaried employee</t>
        </is>
      </c>
      <c r="I575" s="5" t="inlineStr">
        <is>
          <t>CTC to In-Hand Salary Calculator</t>
        </is>
      </c>
      <c r="J575" s="5" t="inlineStr">
        <is>
          <t>/career/ctc-to-in-hand</t>
        </is>
      </c>
      <c r="K575" s="5" t="inlineStr">
        <is>
          <t>Detail how Section 87A creates a zero-tax threshold for net taxable income up to Rs 7 Lakh (extended effectively to Rs 7.75 Lakh with standard deduction).</t>
        </is>
      </c>
      <c r="L575" s="4" t="inlineStr">
        <is>
          <t>YES</t>
        </is>
      </c>
      <c r="M575" s="4" t="inlineStr">
        <is>
          <t>HIGH</t>
        </is>
      </c>
      <c r="N575" s="4" t="inlineStr">
        <is>
          <t>READY</t>
        </is>
      </c>
      <c r="O575" s="5" t="inlineStr"/>
      <c r="P575" s="5" t="inlineStr"/>
      <c r="Q575" s="5" t="inlineStr"/>
      <c r="R575" s="5" t="inlineStr"/>
    </row>
    <row r="576" ht="20" customHeight="1">
      <c r="A576" s="2" t="inlineStr">
        <is>
          <t>ST575</t>
        </is>
      </c>
      <c r="B576" s="3" t="inlineStr">
        <is>
          <t>How to Calculate Pro-Rata Salary for Joining or Leaving in the Middle of a Month</t>
        </is>
      </c>
      <c r="C576" s="2" t="inlineStr">
        <is>
          <t>Career</t>
        </is>
      </c>
      <c r="D576" s="3" t="inlineStr">
        <is>
          <t>CTC</t>
        </is>
      </c>
      <c r="E576" s="2" t="inlineStr">
        <is>
          <t>How-To</t>
        </is>
      </c>
      <c r="F576" s="2" t="inlineStr">
        <is>
          <t>How-To</t>
        </is>
      </c>
      <c r="G576" s="3" t="inlineStr">
        <is>
          <t>pro rata salary calculation formula</t>
        </is>
      </c>
      <c r="H576" s="3" t="inlineStr">
        <is>
          <t>mid month joining salary calculation, calendar days vs working days salary, pro rata formula</t>
        </is>
      </c>
      <c r="I576" s="3" t="inlineStr">
        <is>
          <t>CTC to In-Hand Salary Calculator</t>
        </is>
      </c>
      <c r="J576" s="3" t="inlineStr">
        <is>
          <t>/career/ctc-to-in-hand</t>
        </is>
      </c>
      <c r="K576" s="3" t="inlineStr">
        <is>
          <t>Formula: (Monthly Gross / Total Days in Month) * Number of Days Served. Contrast calendar-day policy vs 30-day fixed divisor policy.</t>
        </is>
      </c>
      <c r="L576" s="2" t="inlineStr">
        <is>
          <t>YES</t>
        </is>
      </c>
      <c r="M576" s="2" t="inlineStr">
        <is>
          <t>HIGH</t>
        </is>
      </c>
      <c r="N576" s="2" t="inlineStr">
        <is>
          <t>READY</t>
        </is>
      </c>
      <c r="O576" s="3" t="inlineStr"/>
      <c r="P576" s="3" t="inlineStr"/>
      <c r="Q576" s="3" t="inlineStr"/>
      <c r="R576" s="3" t="inlineStr"/>
    </row>
    <row r="577" ht="20" customHeight="1">
      <c r="A577" s="4" t="inlineStr">
        <is>
          <t>ST576</t>
        </is>
      </c>
      <c r="B577" s="5" t="inlineStr">
        <is>
          <t>What Is 'Retention Bonus' in Indian Tech Companies and When Is It Paid?</t>
        </is>
      </c>
      <c r="C577" s="4" t="inlineStr">
        <is>
          <t>Career</t>
        </is>
      </c>
      <c r="D577" s="5" t="inlineStr">
        <is>
          <t>CTC</t>
        </is>
      </c>
      <c r="E577" s="4" t="inlineStr">
        <is>
          <t>Guide</t>
        </is>
      </c>
      <c r="F577" s="4" t="inlineStr">
        <is>
          <t>Informational</t>
        </is>
      </c>
      <c r="G577" s="5" t="inlineStr">
        <is>
          <t>retention bonus in it companies</t>
        </is>
      </c>
      <c r="H577" s="5" t="inlineStr">
        <is>
          <t>retention bonus taxation, loyalty bonus offer letter, retention bonus agreement terms</t>
        </is>
      </c>
      <c r="I577" s="5" t="inlineStr">
        <is>
          <t>CTC to In-Hand Salary Calculator</t>
        </is>
      </c>
      <c r="J577" s="5" t="inlineStr">
        <is>
          <t>/career/ctc-to-in-hand</t>
        </is>
      </c>
      <c r="K577" s="5" t="inlineStr">
        <is>
          <t>Explain how retention bonuses are structured over 12 to 24 months to prevent attrition, detailing payout tranches and clawback stipulations.</t>
        </is>
      </c>
      <c r="L577" s="4" t="inlineStr">
        <is>
          <t>YES</t>
        </is>
      </c>
      <c r="M577" s="4" t="inlineStr">
        <is>
          <t>MEDIUM</t>
        </is>
      </c>
      <c r="N577" s="4" t="inlineStr">
        <is>
          <t>READY</t>
        </is>
      </c>
      <c r="O577" s="5" t="inlineStr"/>
      <c r="P577" s="5" t="inlineStr"/>
      <c r="Q577" s="5" t="inlineStr"/>
      <c r="R577" s="5" t="inlineStr"/>
    </row>
    <row r="578" ht="20" customHeight="1">
      <c r="A578" s="2" t="inlineStr">
        <is>
          <t>ST577</t>
        </is>
      </c>
      <c r="B578" s="3" t="inlineStr">
        <is>
          <t>How Maternity and Paternity Leaves Are Compensated in Salary Calculations</t>
        </is>
      </c>
      <c r="C578" s="2" t="inlineStr">
        <is>
          <t>Career</t>
        </is>
      </c>
      <c r="D578" s="3" t="inlineStr">
        <is>
          <t>CTC</t>
        </is>
      </c>
      <c r="E578" s="2" t="inlineStr">
        <is>
          <t>Guide</t>
        </is>
      </c>
      <c r="F578" s="2" t="inlineStr">
        <is>
          <t>Reference</t>
        </is>
      </c>
      <c r="G578" s="3" t="inlineStr">
        <is>
          <t>maternity benefit act salary calculation</t>
        </is>
      </c>
      <c r="H578" s="3" t="inlineStr">
        <is>
          <t>maternity leave full salary rule, 26 weeks paid maternity leave india, paternity leave corporate policy</t>
        </is>
      </c>
      <c r="I578" s="3" t="inlineStr">
        <is>
          <t>CTC to In-Hand Salary Calculator</t>
        </is>
      </c>
      <c r="J578" s="3" t="inlineStr">
        <is>
          <t>/career/ctc-to-in-hand</t>
        </is>
      </c>
      <c r="K578" s="3" t="inlineStr">
        <is>
          <t>Explain Maternity Benefit Act mandates: 26 weeks of full wage compensation (average daily wage for 3 months prior) without loss of seniority.</t>
        </is>
      </c>
      <c r="L578" s="2" t="inlineStr">
        <is>
          <t>YES</t>
        </is>
      </c>
      <c r="M578" s="2" t="inlineStr">
        <is>
          <t>MEDIUM</t>
        </is>
      </c>
      <c r="N578" s="2" t="inlineStr">
        <is>
          <t>READY</t>
        </is>
      </c>
      <c r="O578" s="3" t="inlineStr"/>
      <c r="P578" s="3" t="inlineStr"/>
      <c r="Q578" s="3" t="inlineStr"/>
      <c r="R578" s="3" t="inlineStr"/>
    </row>
    <row r="579" ht="20" customHeight="1">
      <c r="A579" s="4" t="inlineStr">
        <is>
          <t>ST578</t>
        </is>
      </c>
      <c r="B579" s="5" t="inlineStr">
        <is>
          <t>Comparing Indian IT Service CTC (TCS, Infosys, Wipro) with Product Company CTC</t>
        </is>
      </c>
      <c r="C579" s="4" t="inlineStr">
        <is>
          <t>Career</t>
        </is>
      </c>
      <c r="D579" s="5" t="inlineStr">
        <is>
          <t>CTC</t>
        </is>
      </c>
      <c r="E579" s="4" t="inlineStr">
        <is>
          <t>Comparison</t>
        </is>
      </c>
      <c r="F579" s="4" t="inlineStr">
        <is>
          <t>Comparison</t>
        </is>
      </c>
      <c r="G579" s="5" t="inlineStr">
        <is>
          <t>service vs product company ctc breakdown</t>
        </is>
      </c>
      <c r="H579" s="5" t="inlineStr">
        <is>
          <t>tcs ninja digital ctc breakdown, product company offer letter components, guaranteed vs variable ctc</t>
        </is>
      </c>
      <c r="I579" s="5" t="inlineStr">
        <is>
          <t>CTC to In-Hand Salary Calculator</t>
        </is>
      </c>
      <c r="J579" s="5" t="inlineStr">
        <is>
          <t>/career/ctc-to-in-hand</t>
        </is>
      </c>
      <c r="K579" s="5" t="inlineStr">
        <is>
          <t>Contrast rigid 10-15% variable allowances and training bonds in IT services with high-base, stock-rich product compensation packages.</t>
        </is>
      </c>
      <c r="L579" s="4" t="inlineStr">
        <is>
          <t>YES</t>
        </is>
      </c>
      <c r="M579" s="4" t="inlineStr">
        <is>
          <t>HIGH</t>
        </is>
      </c>
      <c r="N579" s="4" t="inlineStr">
        <is>
          <t>READY</t>
        </is>
      </c>
      <c r="O579" s="5" t="inlineStr"/>
      <c r="P579" s="5" t="inlineStr"/>
      <c r="Q579" s="5" t="inlineStr"/>
      <c r="R579" s="5" t="inlineStr"/>
    </row>
    <row r="580" ht="20" customHeight="1">
      <c r="A580" s="2" t="inlineStr">
        <is>
          <t>ST579</t>
        </is>
      </c>
      <c r="B580" s="3" t="inlineStr">
        <is>
          <t>How Surcharge and Health &amp; Education Cess (4%) Affect High-Salary Take-Home</t>
        </is>
      </c>
      <c r="C580" s="2" t="inlineStr">
        <is>
          <t>Career</t>
        </is>
      </c>
      <c r="D580" s="3" t="inlineStr">
        <is>
          <t>CTC</t>
        </is>
      </c>
      <c r="E580" s="2" t="inlineStr">
        <is>
          <t>Explanation</t>
        </is>
      </c>
      <c r="F580" s="2" t="inlineStr">
        <is>
          <t>Reference</t>
        </is>
      </c>
      <c r="G580" s="3" t="inlineStr">
        <is>
          <t>health and education cess on salary tds</t>
        </is>
      </c>
      <c r="H580" s="3" t="inlineStr">
        <is>
          <t>4 percent cess calculation, surcharge on salary above 50 lakhs, effective tax rate high income</t>
        </is>
      </c>
      <c r="I580" s="3" t="inlineStr">
        <is>
          <t>CTC to In-Hand Salary Calculator</t>
        </is>
      </c>
      <c r="J580" s="3" t="inlineStr">
        <is>
          <t>/career/ctc-to-in-hand</t>
        </is>
      </c>
      <c r="K580" s="3" t="inlineStr">
        <is>
          <t>Show how the mandatory 4% Health &amp; Education Cess applies on top of income tax, and surcharge tiers (10%, 15%, 25%) on annual income exceeding Rs 50 Lakh.</t>
        </is>
      </c>
      <c r="L580" s="2" t="inlineStr">
        <is>
          <t>YES</t>
        </is>
      </c>
      <c r="M580" s="2" t="inlineStr">
        <is>
          <t>HIGH</t>
        </is>
      </c>
      <c r="N580" s="2" t="inlineStr">
        <is>
          <t>READY</t>
        </is>
      </c>
      <c r="O580" s="3" t="inlineStr"/>
      <c r="P580" s="3" t="inlineStr"/>
      <c r="Q580" s="3" t="inlineStr"/>
      <c r="R580" s="3" t="inlineStr"/>
    </row>
    <row r="581" ht="20" customHeight="1">
      <c r="A581" s="4" t="inlineStr">
        <is>
          <t>ST580</t>
        </is>
      </c>
      <c r="B581" s="5" t="inlineStr">
        <is>
          <t>Summary Guide: The Complete Indian Salaried Employee CTC Checklist</t>
        </is>
      </c>
      <c r="C581" s="4" t="inlineStr">
        <is>
          <t>Career</t>
        </is>
      </c>
      <c r="D581" s="5" t="inlineStr">
        <is>
          <t>CTC</t>
        </is>
      </c>
      <c r="E581" s="4" t="inlineStr">
        <is>
          <t>Guide</t>
        </is>
      </c>
      <c r="F581" s="4" t="inlineStr">
        <is>
          <t>Reference</t>
        </is>
      </c>
      <c r="G581" s="5" t="inlineStr">
        <is>
          <t>ctc components checklist india</t>
        </is>
      </c>
      <c r="H581" s="5" t="inlineStr">
        <is>
          <t>all salary components list, understanding offer letter ctc, salary calculator guide</t>
        </is>
      </c>
      <c r="I581" s="5" t="inlineStr">
        <is>
          <t>CTC to In-Hand Salary Calculator</t>
        </is>
      </c>
      <c r="J581" s="5" t="inlineStr">
        <is>
          <t>/career/ctc-to-in-hand</t>
        </is>
      </c>
      <c r="K581" s="5" t="inlineStr">
        <is>
          <t>A definitive reference guide summarizing every single possible line item on an Indian salary offer letter and its impact on your net bank account credit.</t>
        </is>
      </c>
      <c r="L581" s="4" t="inlineStr">
        <is>
          <t>YES</t>
        </is>
      </c>
      <c r="M581" s="4" t="inlineStr">
        <is>
          <t>HIGH</t>
        </is>
      </c>
      <c r="N581" s="4" t="inlineStr">
        <is>
          <t>READY</t>
        </is>
      </c>
      <c r="O581" s="5" t="inlineStr"/>
      <c r="P581" s="5" t="inlineStr"/>
      <c r="Q581" s="5" t="inlineStr"/>
      <c r="R581" s="5" t="inlineStr"/>
    </row>
    <row r="582" ht="20" customHeight="1">
      <c r="A582" s="2" t="inlineStr">
        <is>
          <t>ST581</t>
        </is>
      </c>
      <c r="B582" s="3" t="inlineStr">
        <is>
          <t>How to Convert Annual CTC to Monthly Gross Salary: Simple Division vs Reality</t>
        </is>
      </c>
      <c r="C582" s="2" t="inlineStr">
        <is>
          <t>Career</t>
        </is>
      </c>
      <c r="D582" s="3" t="inlineStr">
        <is>
          <t>Salary</t>
        </is>
      </c>
      <c r="E582" s="2" t="inlineStr">
        <is>
          <t>Formula Guide</t>
        </is>
      </c>
      <c r="F582" s="2" t="inlineStr">
        <is>
          <t>How-To</t>
        </is>
      </c>
      <c r="G582" s="3" t="inlineStr">
        <is>
          <t>how to convert annual ctc to monthly salary</t>
        </is>
      </c>
      <c r="H582" s="3" t="inlineStr">
        <is>
          <t>annual to monthly salary formula, ctc divided by 12, yearly package to monthly paycheck</t>
        </is>
      </c>
      <c r="I582" s="3" t="inlineStr">
        <is>
          <t>Annual to Monthly Salary Calculator</t>
        </is>
      </c>
      <c r="J582" s="3" t="inlineStr">
        <is>
          <t>/career/annual-to-monthly-salary</t>
        </is>
      </c>
      <c r="K582" s="3" t="inlineStr">
        <is>
          <t>Explain why simply dividing annual CTC by 12 gives Gross Monthly Pay, not your actual take-home bank credit, and show how to derive both.</t>
        </is>
      </c>
      <c r="L582" s="2" t="inlineStr">
        <is>
          <t>YES</t>
        </is>
      </c>
      <c r="M582" s="2" t="inlineStr">
        <is>
          <t>HIGH</t>
        </is>
      </c>
      <c r="N582" s="2" t="inlineStr">
        <is>
          <t>READY</t>
        </is>
      </c>
      <c r="O582" s="3" t="inlineStr"/>
      <c r="P582" s="3" t="inlineStr"/>
      <c r="Q582" s="3" t="inlineStr"/>
      <c r="R582" s="3" t="inlineStr"/>
    </row>
    <row r="583" ht="20" customHeight="1">
      <c r="A583" s="4" t="inlineStr">
        <is>
          <t>ST582</t>
        </is>
      </c>
      <c r="B583" s="5" t="inlineStr">
        <is>
          <t>How to Calculate Annual CTC from Your Monthly Take-Home Paycheck</t>
        </is>
      </c>
      <c r="C583" s="4" t="inlineStr">
        <is>
          <t>Career</t>
        </is>
      </c>
      <c r="D583" s="5" t="inlineStr">
        <is>
          <t>Salary</t>
        </is>
      </c>
      <c r="E583" s="4" t="inlineStr">
        <is>
          <t>How-To</t>
        </is>
      </c>
      <c r="F583" s="4" t="inlineStr">
        <is>
          <t>How-To</t>
        </is>
      </c>
      <c r="G583" s="5" t="inlineStr">
        <is>
          <t>how to calculate annual salary from monthly in hand</t>
        </is>
      </c>
      <c r="H583" s="5" t="inlineStr">
        <is>
          <t>reverse salary calculator, monthly to annual salary formula, estimating ctc from paycheck</t>
        </is>
      </c>
      <c r="I583" s="5" t="inlineStr">
        <is>
          <t>Monthly to Annual Salary Calculator</t>
        </is>
      </c>
      <c r="J583" s="5" t="inlineStr">
        <is>
          <t>/career/monthly-to-annual-salary</t>
        </is>
      </c>
      <c r="K583" s="5" t="inlineStr">
        <is>
          <t>Step-by-step reverse calculation adding back Employee PF, Employer PF, Gratuity, and Income Tax deductions to estimate the corresponding annual CTC.</t>
        </is>
      </c>
      <c r="L583" s="4" t="inlineStr">
        <is>
          <t>YES</t>
        </is>
      </c>
      <c r="M583" s="4" t="inlineStr">
        <is>
          <t>HIGH</t>
        </is>
      </c>
      <c r="N583" s="4" t="inlineStr">
        <is>
          <t>READY</t>
        </is>
      </c>
      <c r="O583" s="5" t="inlineStr"/>
      <c r="P583" s="5" t="inlineStr"/>
      <c r="Q583" s="5" t="inlineStr"/>
      <c r="R583" s="5" t="inlineStr"/>
    </row>
    <row r="584" ht="20" customHeight="1">
      <c r="A584" s="2" t="inlineStr">
        <is>
          <t>ST583</t>
        </is>
      </c>
      <c r="B584" s="3" t="inlineStr">
        <is>
          <t>How to Convert Hourly Rate to Monthly and Annual Salary in India</t>
        </is>
      </c>
      <c r="C584" s="2" t="inlineStr">
        <is>
          <t>Career</t>
        </is>
      </c>
      <c r="D584" s="3" t="inlineStr">
        <is>
          <t>Salary</t>
        </is>
      </c>
      <c r="E584" s="2" t="inlineStr">
        <is>
          <t>Formula Guide</t>
        </is>
      </c>
      <c r="F584" s="2" t="inlineStr">
        <is>
          <t>How-To</t>
        </is>
      </c>
      <c r="G584" s="3" t="inlineStr">
        <is>
          <t>convert hourly rate to monthly salary</t>
        </is>
      </c>
      <c r="H584" s="3" t="inlineStr">
        <is>
          <t>hourly wage to annual salary, consultant hourly rate calculation, 2080 working hours formula</t>
        </is>
      </c>
      <c r="I584" s="3" t="inlineStr">
        <is>
          <t>Monthly to Annual Salary Calculator</t>
        </is>
      </c>
      <c r="J584" s="3" t="inlineStr">
        <is>
          <t>/career/monthly-to-annual-salary</t>
        </is>
      </c>
      <c r="K584" s="3" t="inlineStr">
        <is>
          <t>Standard benchmark: 8 hours/day * 22 working days/month = 176 monthly hours, and 2,080 annual hours for full-time professional contracting.</t>
        </is>
      </c>
      <c r="L584" s="2" t="inlineStr">
        <is>
          <t>YES</t>
        </is>
      </c>
      <c r="M584" s="2" t="inlineStr">
        <is>
          <t>HIGH</t>
        </is>
      </c>
      <c r="N584" s="2" t="inlineStr">
        <is>
          <t>READY</t>
        </is>
      </c>
      <c r="O584" s="3" t="inlineStr"/>
      <c r="P584" s="3" t="inlineStr"/>
      <c r="Q584" s="3" t="inlineStr"/>
      <c r="R584" s="3" t="inlineStr"/>
    </row>
    <row r="585" ht="20" customHeight="1">
      <c r="A585" s="4" t="inlineStr">
        <is>
          <t>ST584</t>
        </is>
      </c>
      <c r="B585" s="5" t="inlineStr">
        <is>
          <t>How to Calculate Your True Daily Earning Rate from Your Monthly Salary</t>
        </is>
      </c>
      <c r="C585" s="4" t="inlineStr">
        <is>
          <t>Career</t>
        </is>
      </c>
      <c r="D585" s="5" t="inlineStr">
        <is>
          <t>Salary</t>
        </is>
      </c>
      <c r="E585" s="4" t="inlineStr">
        <is>
          <t>How-To</t>
        </is>
      </c>
      <c r="F585" s="4" t="inlineStr">
        <is>
          <t>How-To</t>
        </is>
      </c>
      <c r="G585" s="5" t="inlineStr">
        <is>
          <t>how to calculate daily wage from monthly salary</t>
        </is>
      </c>
      <c r="H585" s="5" t="inlineStr">
        <is>
          <t>per day salary calculation, daily earning rate formula, working days vs calendar days</t>
        </is>
      </c>
      <c r="I585" s="5" t="inlineStr">
        <is>
          <t>Monthly to Annual Salary Calculator</t>
        </is>
      </c>
      <c r="J585" s="5" t="inlineStr">
        <is>
          <t>/career/monthly-to-annual-salary</t>
        </is>
      </c>
      <c r="K585" s="5" t="inlineStr">
        <is>
          <t>Contrast two calculation models: Total Calendar Days (30 or 31) used for Leave Encashment/LOP vs Net Working Days (20 to 22) used for consulting value.</t>
        </is>
      </c>
      <c r="L585" s="4" t="inlineStr">
        <is>
          <t>YES</t>
        </is>
      </c>
      <c r="M585" s="4" t="inlineStr">
        <is>
          <t>HIGH</t>
        </is>
      </c>
      <c r="N585" s="4" t="inlineStr">
        <is>
          <t>READY</t>
        </is>
      </c>
      <c r="O585" s="5" t="inlineStr"/>
      <c r="P585" s="5" t="inlineStr"/>
      <c r="Q585" s="5" t="inlineStr"/>
      <c r="R585" s="5" t="inlineStr"/>
    </row>
    <row r="586" ht="20" customHeight="1">
      <c r="A586" s="2" t="inlineStr">
        <is>
          <t>ST585</t>
        </is>
      </c>
      <c r="B586" s="3" t="inlineStr">
        <is>
          <t>What Does 'Lakhs Per Annum' (LPA) Mean? A Complete Beginner's Guide</t>
        </is>
      </c>
      <c r="C586" s="2" t="inlineStr">
        <is>
          <t>Career</t>
        </is>
      </c>
      <c r="D586" s="3" t="inlineStr">
        <is>
          <t>Salary</t>
        </is>
      </c>
      <c r="E586" s="2" t="inlineStr">
        <is>
          <t>Explanation</t>
        </is>
      </c>
      <c r="F586" s="2" t="inlineStr">
        <is>
          <t>Informational</t>
        </is>
      </c>
      <c r="G586" s="3" t="inlineStr">
        <is>
          <t>what is lpa in salary</t>
        </is>
      </c>
      <c r="H586" s="3" t="inlineStr">
        <is>
          <t>lpa meaning in salary, lakhs per annum calculation, package in lpa explained</t>
        </is>
      </c>
      <c r="I586" s="3" t="inlineStr">
        <is>
          <t>Annual to Monthly Salary Calculator</t>
        </is>
      </c>
      <c r="J586" s="3" t="inlineStr">
        <is>
          <t>/career/annual-to-monthly-salary</t>
        </is>
      </c>
      <c r="K586" s="3" t="inlineStr">
        <is>
          <t>Clear mathematical definition of LPA: 1 LPA = Rs 1,00,000 per year = Rs 8,333 per month gross. Include conversion tables for 3, 6, 10, 15, and 25 LPA.</t>
        </is>
      </c>
      <c r="L586" s="2" t="inlineStr">
        <is>
          <t>YES</t>
        </is>
      </c>
      <c r="M586" s="2" t="inlineStr">
        <is>
          <t>HIGH</t>
        </is>
      </c>
      <c r="N586" s="2" t="inlineStr">
        <is>
          <t>READY</t>
        </is>
      </c>
      <c r="O586" s="3" t="inlineStr"/>
      <c r="P586" s="3" t="inlineStr"/>
      <c r="Q586" s="3" t="inlineStr"/>
      <c r="R586" s="3" t="inlineStr"/>
    </row>
    <row r="587" ht="20" customHeight="1">
      <c r="A587" s="4" t="inlineStr">
        <is>
          <t>ST586</t>
        </is>
      </c>
      <c r="B587" s="5" t="inlineStr">
        <is>
          <t>How to Convert Weekly Pay into Monthly and Annual Salary Projections</t>
        </is>
      </c>
      <c r="C587" s="4" t="inlineStr">
        <is>
          <t>Career</t>
        </is>
      </c>
      <c r="D587" s="5" t="inlineStr">
        <is>
          <t>Salary</t>
        </is>
      </c>
      <c r="E587" s="4" t="inlineStr">
        <is>
          <t>Formula Guide</t>
        </is>
      </c>
      <c r="F587" s="4" t="inlineStr">
        <is>
          <t>How-To</t>
        </is>
      </c>
      <c r="G587" s="5" t="inlineStr">
        <is>
          <t>how to convert weekly pay to monthly salary</t>
        </is>
      </c>
      <c r="H587" s="5" t="inlineStr">
        <is>
          <t>weekly to annual salary formula, 52 weeks salary calculation, bi weekly to monthly pay</t>
        </is>
      </c>
      <c r="I587" s="5" t="inlineStr">
        <is>
          <t>Monthly to Annual Salary Calculator</t>
        </is>
      </c>
      <c r="J587" s="5" t="inlineStr">
        <is>
          <t>/career/monthly-to-annual-salary</t>
        </is>
      </c>
      <c r="K587" s="5" t="inlineStr">
        <is>
          <t>Address the common mathematical error of multiplying weekly pay by 4: correct formula is (Weekly * 52) / 12 = Weekly * 4.333.</t>
        </is>
      </c>
      <c r="L587" s="4" t="inlineStr">
        <is>
          <t>YES</t>
        </is>
      </c>
      <c r="M587" s="4" t="inlineStr">
        <is>
          <t>HIGH</t>
        </is>
      </c>
      <c r="N587" s="4" t="inlineStr">
        <is>
          <t>READY</t>
        </is>
      </c>
      <c r="O587" s="5" t="inlineStr"/>
      <c r="P587" s="5" t="inlineStr"/>
      <c r="Q587" s="5" t="inlineStr"/>
      <c r="R587" s="5" t="inlineStr"/>
    </row>
    <row r="588" ht="20" customHeight="1">
      <c r="A588" s="2" t="inlineStr">
        <is>
          <t>ST587</t>
        </is>
      </c>
      <c r="B588" s="3" t="inlineStr">
        <is>
          <t>Bi-Weekly vs Semi-Monthly Paychecks: What Is the Difference in Annual Pay?</t>
        </is>
      </c>
      <c r="C588" s="2" t="inlineStr">
        <is>
          <t>Career</t>
        </is>
      </c>
      <c r="D588" s="3" t="inlineStr">
        <is>
          <t>Salary</t>
        </is>
      </c>
      <c r="E588" s="2" t="inlineStr">
        <is>
          <t>Comparison</t>
        </is>
      </c>
      <c r="F588" s="2" t="inlineStr">
        <is>
          <t>Educational</t>
        </is>
      </c>
      <c r="G588" s="3" t="inlineStr">
        <is>
          <t>bi weekly vs semi monthly pay</t>
        </is>
      </c>
      <c r="H588" s="3" t="inlineStr">
        <is>
          <t>26 paychecks vs 24 paychecks, bi weekly salary calculation, payroll cycle comparison</t>
        </is>
      </c>
      <c r="I588" s="3" t="inlineStr">
        <is>
          <t>Monthly to Annual Salary Calculator</t>
        </is>
      </c>
      <c r="J588" s="3" t="inlineStr">
        <is>
          <t>/career/monthly-to-annual-salary</t>
        </is>
      </c>
      <c r="K588" s="3" t="inlineStr">
        <is>
          <t>Compare 26 paychecks per year (every two weeks) vs 24 paychecks per year (twice a month on the 1st and 15th), showing cash flow implications.</t>
        </is>
      </c>
      <c r="L588" s="2" t="inlineStr">
        <is>
          <t>YES</t>
        </is>
      </c>
      <c r="M588" s="2" t="inlineStr">
        <is>
          <t>MEDIUM</t>
        </is>
      </c>
      <c r="N588" s="2" t="inlineStr">
        <is>
          <t>READY</t>
        </is>
      </c>
      <c r="O588" s="3" t="inlineStr"/>
      <c r="P588" s="3" t="inlineStr"/>
      <c r="Q588" s="3" t="inlineStr"/>
      <c r="R588" s="3" t="inlineStr"/>
    </row>
    <row r="589" ht="20" customHeight="1">
      <c r="A589" s="4" t="inlineStr">
        <is>
          <t>ST588</t>
        </is>
      </c>
      <c r="B589" s="5" t="inlineStr">
        <is>
          <t>How to Project Annual Earnings from Freelance or Consulting Contracts</t>
        </is>
      </c>
      <c r="C589" s="4" t="inlineStr">
        <is>
          <t>Career</t>
        </is>
      </c>
      <c r="D589" s="5" t="inlineStr">
        <is>
          <t>Salary</t>
        </is>
      </c>
      <c r="E589" s="4" t="inlineStr">
        <is>
          <t>Planning Guide</t>
        </is>
      </c>
      <c r="F589" s="4" t="inlineStr">
        <is>
          <t>Planning</t>
        </is>
      </c>
      <c r="G589" s="5" t="inlineStr">
        <is>
          <t>how to calculate annual freelance income</t>
        </is>
      </c>
      <c r="H589" s="5" t="inlineStr">
        <is>
          <t>freelance annual earnings calculator, projecting consulting revenue, billable hours calculation</t>
        </is>
      </c>
      <c r="I589" s="5" t="inlineStr">
        <is>
          <t>Monthly to Annual Salary Calculator</t>
        </is>
      </c>
      <c r="J589" s="5" t="inlineStr">
        <is>
          <t>/career/monthly-to-annual-salary</t>
        </is>
      </c>
      <c r="K589" s="5" t="inlineStr">
        <is>
          <t>Budgeting model accounting for non-billable bench time, administrative overhead, holidays, and 44ADA presumptive taxation in India.</t>
        </is>
      </c>
      <c r="L589" s="4" t="inlineStr">
        <is>
          <t>YES</t>
        </is>
      </c>
      <c r="M589" s="4" t="inlineStr">
        <is>
          <t>HIGH</t>
        </is>
      </c>
      <c r="N589" s="4" t="inlineStr">
        <is>
          <t>READY</t>
        </is>
      </c>
      <c r="O589" s="5" t="inlineStr"/>
      <c r="P589" s="5" t="inlineStr"/>
      <c r="Q589" s="5" t="inlineStr"/>
      <c r="R589" s="5" t="inlineStr"/>
    </row>
    <row r="590" ht="20" customHeight="1">
      <c r="A590" s="2" t="inlineStr">
        <is>
          <t>ST589</t>
        </is>
      </c>
      <c r="B590" s="3" t="inlineStr">
        <is>
          <t>How to Convert Foreign Remotes Salaries (USD / EUR) to Annual INR Packages</t>
        </is>
      </c>
      <c r="C590" s="2" t="inlineStr">
        <is>
          <t>Career</t>
        </is>
      </c>
      <c r="D590" s="3" t="inlineStr">
        <is>
          <t>Salary</t>
        </is>
      </c>
      <c r="E590" s="2" t="inlineStr">
        <is>
          <t>Guide</t>
        </is>
      </c>
      <c r="F590" s="2" t="inlineStr">
        <is>
          <t>How-To</t>
        </is>
      </c>
      <c r="G590" s="3" t="inlineStr">
        <is>
          <t>convert usd salary to inr annual ctc</t>
        </is>
      </c>
      <c r="H590" s="3" t="inlineStr">
        <is>
          <t>remote us job salary calculation, usd to lpa conversion, remote contractor taxation india</t>
        </is>
      </c>
      <c r="I590" s="3" t="inlineStr">
        <is>
          <t>Annual to Monthly Salary Calculator</t>
        </is>
      </c>
      <c r="J590" s="3" t="inlineStr">
        <is>
          <t>/career/annual-to-monthly-salary</t>
        </is>
      </c>
      <c r="K590" s="3" t="inlineStr">
        <is>
          <t>Explain exchange rate conversion, inward remittance bank fees, GST on service exports (LUT filing), and computing equivalent LPA in India.</t>
        </is>
      </c>
      <c r="L590" s="2" t="inlineStr">
        <is>
          <t>YES</t>
        </is>
      </c>
      <c r="M590" s="2" t="inlineStr">
        <is>
          <t>HIGH</t>
        </is>
      </c>
      <c r="N590" s="2" t="inlineStr">
        <is>
          <t>READY</t>
        </is>
      </c>
      <c r="O590" s="3" t="inlineStr"/>
      <c r="P590" s="3" t="inlineStr"/>
      <c r="Q590" s="3" t="inlineStr"/>
      <c r="R590" s="3" t="inlineStr"/>
    </row>
    <row r="591" ht="20" customHeight="1">
      <c r="A591" s="4" t="inlineStr">
        <is>
          <t>ST590</t>
        </is>
      </c>
      <c r="B591" s="5" t="inlineStr">
        <is>
          <t>Why 12 Months vs 13 Months Salary (13th Month Pay) Changes Your Monthly Math</t>
        </is>
      </c>
      <c r="C591" s="4" t="inlineStr">
        <is>
          <t>Career</t>
        </is>
      </c>
      <c r="D591" s="5" t="inlineStr">
        <is>
          <t>Salary</t>
        </is>
      </c>
      <c r="E591" s="4" t="inlineStr">
        <is>
          <t>Explanation</t>
        </is>
      </c>
      <c r="F591" s="4" t="inlineStr">
        <is>
          <t>Educational</t>
        </is>
      </c>
      <c r="G591" s="5" t="inlineStr">
        <is>
          <t>13th month salary calculation</t>
        </is>
      </c>
      <c r="H591" s="5" t="inlineStr">
        <is>
          <t>annual bonus as 13th month, monthly salary calculation with 13th cheque, annual package division</t>
        </is>
      </c>
      <c r="I591" s="5" t="inlineStr">
        <is>
          <t>Annual to Monthly Salary Calculator</t>
        </is>
      </c>
      <c r="J591" s="5" t="inlineStr">
        <is>
          <t>/career/annual-to-monthly-salary</t>
        </is>
      </c>
      <c r="K591" s="5" t="inlineStr">
        <is>
          <t>Explain multinational compensation structures where annual compensation is distributed across 13 or 14 payments rather than 12 equal monthly installments.</t>
        </is>
      </c>
      <c r="L591" s="4" t="inlineStr">
        <is>
          <t>YES</t>
        </is>
      </c>
      <c r="M591" s="4" t="inlineStr">
        <is>
          <t>MEDIUM</t>
        </is>
      </c>
      <c r="N591" s="4" t="inlineStr">
        <is>
          <t>READY</t>
        </is>
      </c>
      <c r="O591" s="5" t="inlineStr"/>
      <c r="P591" s="5" t="inlineStr"/>
      <c r="Q591" s="5" t="inlineStr"/>
      <c r="R591" s="5" t="inlineStr"/>
    </row>
    <row r="592" ht="20" customHeight="1">
      <c r="A592" s="2" t="inlineStr">
        <is>
          <t>ST591</t>
        </is>
      </c>
      <c r="B592" s="3" t="inlineStr">
        <is>
          <t>3 LPA to Monthly Salary: Exact Gross Pay and Expected In-Hand Range</t>
        </is>
      </c>
      <c r="C592" s="2" t="inlineStr">
        <is>
          <t>Career</t>
        </is>
      </c>
      <c r="D592" s="3" t="inlineStr">
        <is>
          <t>Salary</t>
        </is>
      </c>
      <c r="E592" s="2" t="inlineStr">
        <is>
          <t>Formula Guide</t>
        </is>
      </c>
      <c r="F592" s="2" t="inlineStr">
        <is>
          <t>Educational</t>
        </is>
      </c>
      <c r="G592" s="3" t="inlineStr">
        <is>
          <t>3 lpa to monthly salary</t>
        </is>
      </c>
      <c r="H592" s="3" t="inlineStr">
        <is>
          <t>3 lpa monthly gross, 3 lakh package per month, divide 3 lpa by 12</t>
        </is>
      </c>
      <c r="I592" s="3" t="inlineStr">
        <is>
          <t>Annual to Monthly Salary Calculator</t>
        </is>
      </c>
      <c r="J592" s="3" t="inlineStr">
        <is>
          <t>/career/annual-to-monthly-salary</t>
        </is>
      </c>
      <c r="K592" s="3" t="inlineStr">
        <is>
          <t>Demonstrate dividing 3 LPA by 12 to get Gross Monthly Pay of Rs 25,000, and outline typical net take-home ranges after standard Indian deductions.</t>
        </is>
      </c>
      <c r="L592" s="2" t="inlineStr">
        <is>
          <t>YES</t>
        </is>
      </c>
      <c r="M592" s="2" t="inlineStr">
        <is>
          <t>HIGH</t>
        </is>
      </c>
      <c r="N592" s="2" t="inlineStr">
        <is>
          <t>READY</t>
        </is>
      </c>
      <c r="O592" s="3" t="inlineStr"/>
      <c r="P592" s="3" t="inlineStr"/>
      <c r="Q592" s="3" t="inlineStr"/>
      <c r="R592" s="3" t="inlineStr"/>
    </row>
    <row r="593" ht="20" customHeight="1">
      <c r="A593" s="4" t="inlineStr">
        <is>
          <t>ST592</t>
        </is>
      </c>
      <c r="B593" s="5" t="inlineStr">
        <is>
          <t>4 LPA to Monthly Salary: Gross Pay and Estimated Take-Home Range</t>
        </is>
      </c>
      <c r="C593" s="4" t="inlineStr">
        <is>
          <t>Career</t>
        </is>
      </c>
      <c r="D593" s="5" t="inlineStr">
        <is>
          <t>Salary</t>
        </is>
      </c>
      <c r="E593" s="4" t="inlineStr">
        <is>
          <t>Formula Guide</t>
        </is>
      </c>
      <c r="F593" s="4" t="inlineStr">
        <is>
          <t>Educational</t>
        </is>
      </c>
      <c r="G593" s="5" t="inlineStr">
        <is>
          <t>4 lpa to monthly salary</t>
        </is>
      </c>
      <c r="H593" s="5" t="inlineStr">
        <is>
          <t>4 lpa monthly gross, 4 lakh package per month, divide 4 lpa by 12</t>
        </is>
      </c>
      <c r="I593" s="5" t="inlineStr">
        <is>
          <t>Annual to Monthly Salary Calculator</t>
        </is>
      </c>
      <c r="J593" s="5" t="inlineStr">
        <is>
          <t>/career/annual-to-monthly-salary</t>
        </is>
      </c>
      <c r="K593" s="5" t="inlineStr">
        <is>
          <t>Demonstrate dividing 4 LPA by 12 to get Gross Monthly Pay of Rs 33,333, and outline typical net take-home ranges after standard Indian deductions.</t>
        </is>
      </c>
      <c r="L593" s="4" t="inlineStr">
        <is>
          <t>YES</t>
        </is>
      </c>
      <c r="M593" s="4" t="inlineStr">
        <is>
          <t>HIGH</t>
        </is>
      </c>
      <c r="N593" s="4" t="inlineStr">
        <is>
          <t>READY</t>
        </is>
      </c>
      <c r="O593" s="5" t="inlineStr"/>
      <c r="P593" s="5" t="inlineStr"/>
      <c r="Q593" s="5" t="inlineStr"/>
      <c r="R593" s="5" t="inlineStr"/>
    </row>
    <row r="594" ht="20" customHeight="1">
      <c r="A594" s="2" t="inlineStr">
        <is>
          <t>ST593</t>
        </is>
      </c>
      <c r="B594" s="3" t="inlineStr">
        <is>
          <t>5 LPA to Monthly Salary: Gross Pay and Estimated Take-Home Range</t>
        </is>
      </c>
      <c r="C594" s="2" t="inlineStr">
        <is>
          <t>Career</t>
        </is>
      </c>
      <c r="D594" s="3" t="inlineStr">
        <is>
          <t>Salary</t>
        </is>
      </c>
      <c r="E594" s="2" t="inlineStr">
        <is>
          <t>Formula Guide</t>
        </is>
      </c>
      <c r="F594" s="2" t="inlineStr">
        <is>
          <t>Educational</t>
        </is>
      </c>
      <c r="G594" s="3" t="inlineStr">
        <is>
          <t>5 lpa to monthly salary</t>
        </is>
      </c>
      <c r="H594" s="3" t="inlineStr">
        <is>
          <t>5 lpa monthly gross, 5 lakh package per month, divide 5 lpa by 12</t>
        </is>
      </c>
      <c r="I594" s="3" t="inlineStr">
        <is>
          <t>Annual to Monthly Salary Calculator</t>
        </is>
      </c>
      <c r="J594" s="3" t="inlineStr">
        <is>
          <t>/career/annual-to-monthly-salary</t>
        </is>
      </c>
      <c r="K594" s="3" t="inlineStr">
        <is>
          <t>Demonstrate dividing 5 LPA by 12 to get Gross Monthly Pay of Rs 41,666, and outline typical net take-home ranges after standard Indian deductions.</t>
        </is>
      </c>
      <c r="L594" s="2" t="inlineStr">
        <is>
          <t>YES</t>
        </is>
      </c>
      <c r="M594" s="2" t="inlineStr">
        <is>
          <t>HIGH</t>
        </is>
      </c>
      <c r="N594" s="2" t="inlineStr">
        <is>
          <t>READY</t>
        </is>
      </c>
      <c r="O594" s="3" t="inlineStr"/>
      <c r="P594" s="3" t="inlineStr"/>
      <c r="Q594" s="3" t="inlineStr"/>
      <c r="R594" s="3" t="inlineStr"/>
    </row>
    <row r="595" ht="20" customHeight="1">
      <c r="A595" s="4" t="inlineStr">
        <is>
          <t>ST594</t>
        </is>
      </c>
      <c r="B595" s="5" t="inlineStr">
        <is>
          <t>6 LPA to Monthly Salary: Gross Pay and Estimated Take-Home Range</t>
        </is>
      </c>
      <c r="C595" s="4" t="inlineStr">
        <is>
          <t>Career</t>
        </is>
      </c>
      <c r="D595" s="5" t="inlineStr">
        <is>
          <t>Salary</t>
        </is>
      </c>
      <c r="E595" s="4" t="inlineStr">
        <is>
          <t>Formula Guide</t>
        </is>
      </c>
      <c r="F595" s="4" t="inlineStr">
        <is>
          <t>Educational</t>
        </is>
      </c>
      <c r="G595" s="5" t="inlineStr">
        <is>
          <t>6 lpa to monthly salary</t>
        </is>
      </c>
      <c r="H595" s="5" t="inlineStr">
        <is>
          <t>6 lpa monthly gross, 6 lakh package per month, divide 6 lpa by 12</t>
        </is>
      </c>
      <c r="I595" s="5" t="inlineStr">
        <is>
          <t>Annual to Monthly Salary Calculator</t>
        </is>
      </c>
      <c r="J595" s="5" t="inlineStr">
        <is>
          <t>/career/annual-to-monthly-salary</t>
        </is>
      </c>
      <c r="K595" s="5" t="inlineStr">
        <is>
          <t>Demonstrate dividing 6 LPA by 12 to get Gross Monthly Pay of Rs 50,000, and outline typical net take-home ranges after standard Indian deductions.</t>
        </is>
      </c>
      <c r="L595" s="4" t="inlineStr">
        <is>
          <t>YES</t>
        </is>
      </c>
      <c r="M595" s="4" t="inlineStr">
        <is>
          <t>HIGH</t>
        </is>
      </c>
      <c r="N595" s="4" t="inlineStr">
        <is>
          <t>READY</t>
        </is>
      </c>
      <c r="O595" s="5" t="inlineStr"/>
      <c r="P595" s="5" t="inlineStr"/>
      <c r="Q595" s="5" t="inlineStr"/>
      <c r="R595" s="5" t="inlineStr"/>
    </row>
    <row r="596" ht="20" customHeight="1">
      <c r="A596" s="2" t="inlineStr">
        <is>
          <t>ST595</t>
        </is>
      </c>
      <c r="B596" s="3" t="inlineStr">
        <is>
          <t>7 LPA to Monthly Salary: Gross Pay and Estimated Take-Home Range</t>
        </is>
      </c>
      <c r="C596" s="2" t="inlineStr">
        <is>
          <t>Career</t>
        </is>
      </c>
      <c r="D596" s="3" t="inlineStr">
        <is>
          <t>Salary</t>
        </is>
      </c>
      <c r="E596" s="2" t="inlineStr">
        <is>
          <t>Formula Guide</t>
        </is>
      </c>
      <c r="F596" s="2" t="inlineStr">
        <is>
          <t>Educational</t>
        </is>
      </c>
      <c r="G596" s="3" t="inlineStr">
        <is>
          <t>7 lpa to monthly salary</t>
        </is>
      </c>
      <c r="H596" s="3" t="inlineStr">
        <is>
          <t>7 lpa monthly gross, 7 lakh package per month, divide 7 lpa by 12</t>
        </is>
      </c>
      <c r="I596" s="3" t="inlineStr">
        <is>
          <t>Annual to Monthly Salary Calculator</t>
        </is>
      </c>
      <c r="J596" s="3" t="inlineStr">
        <is>
          <t>/career/annual-to-monthly-salary</t>
        </is>
      </c>
      <c r="K596" s="3" t="inlineStr">
        <is>
          <t>Demonstrate dividing 7 LPA by 12 to get Gross Monthly Pay of Rs 58,333, and outline typical net take-home ranges after standard Indian deductions.</t>
        </is>
      </c>
      <c r="L596" s="2" t="inlineStr">
        <is>
          <t>YES</t>
        </is>
      </c>
      <c r="M596" s="2" t="inlineStr">
        <is>
          <t>HIGH</t>
        </is>
      </c>
      <c r="N596" s="2" t="inlineStr">
        <is>
          <t>READY</t>
        </is>
      </c>
      <c r="O596" s="3" t="inlineStr"/>
      <c r="P596" s="3" t="inlineStr"/>
      <c r="Q596" s="3" t="inlineStr"/>
      <c r="R596" s="3" t="inlineStr"/>
    </row>
    <row r="597" ht="20" customHeight="1">
      <c r="A597" s="4" t="inlineStr">
        <is>
          <t>ST596</t>
        </is>
      </c>
      <c r="B597" s="5" t="inlineStr">
        <is>
          <t>8 LPA to Monthly Salary: Gross Pay and Estimated Take-Home Range</t>
        </is>
      </c>
      <c r="C597" s="4" t="inlineStr">
        <is>
          <t>Career</t>
        </is>
      </c>
      <c r="D597" s="5" t="inlineStr">
        <is>
          <t>Salary</t>
        </is>
      </c>
      <c r="E597" s="4" t="inlineStr">
        <is>
          <t>Formula Guide</t>
        </is>
      </c>
      <c r="F597" s="4" t="inlineStr">
        <is>
          <t>Educational</t>
        </is>
      </c>
      <c r="G597" s="5" t="inlineStr">
        <is>
          <t>8 lpa to monthly salary</t>
        </is>
      </c>
      <c r="H597" s="5" t="inlineStr">
        <is>
          <t>8 lpa monthly gross, 8 lakh package per month, divide 8 lpa by 12</t>
        </is>
      </c>
      <c r="I597" s="5" t="inlineStr">
        <is>
          <t>Annual to Monthly Salary Calculator</t>
        </is>
      </c>
      <c r="J597" s="5" t="inlineStr">
        <is>
          <t>/career/annual-to-monthly-salary</t>
        </is>
      </c>
      <c r="K597" s="5" t="inlineStr">
        <is>
          <t>Demonstrate dividing 8 LPA by 12 to get Gross Monthly Pay of Rs 66,666, and outline typical net take-home ranges after standard Indian deductions.</t>
        </is>
      </c>
      <c r="L597" s="4" t="inlineStr">
        <is>
          <t>YES</t>
        </is>
      </c>
      <c r="M597" s="4" t="inlineStr">
        <is>
          <t>HIGH</t>
        </is>
      </c>
      <c r="N597" s="4" t="inlineStr">
        <is>
          <t>READY</t>
        </is>
      </c>
      <c r="O597" s="5" t="inlineStr"/>
      <c r="P597" s="5" t="inlineStr"/>
      <c r="Q597" s="5" t="inlineStr"/>
      <c r="R597" s="5" t="inlineStr"/>
    </row>
    <row r="598" ht="20" customHeight="1">
      <c r="A598" s="2" t="inlineStr">
        <is>
          <t>ST597</t>
        </is>
      </c>
      <c r="B598" s="3" t="inlineStr">
        <is>
          <t>9 LPA to Monthly Salary: Gross Pay and Estimated Take-Home Range</t>
        </is>
      </c>
      <c r="C598" s="2" t="inlineStr">
        <is>
          <t>Career</t>
        </is>
      </c>
      <c r="D598" s="3" t="inlineStr">
        <is>
          <t>Salary</t>
        </is>
      </c>
      <c r="E598" s="2" t="inlineStr">
        <is>
          <t>Formula Guide</t>
        </is>
      </c>
      <c r="F598" s="2" t="inlineStr">
        <is>
          <t>Educational</t>
        </is>
      </c>
      <c r="G598" s="3" t="inlineStr">
        <is>
          <t>9 lpa to monthly salary</t>
        </is>
      </c>
      <c r="H598" s="3" t="inlineStr">
        <is>
          <t>9 lpa monthly gross, 9 lakh package per month, divide 9 lpa by 12</t>
        </is>
      </c>
      <c r="I598" s="3" t="inlineStr">
        <is>
          <t>Annual to Monthly Salary Calculator</t>
        </is>
      </c>
      <c r="J598" s="3" t="inlineStr">
        <is>
          <t>/career/annual-to-monthly-salary</t>
        </is>
      </c>
      <c r="K598" s="3" t="inlineStr">
        <is>
          <t>Demonstrate dividing 9 LPA by 12 to get Gross Monthly Pay of Rs 75,000, and outline typical net take-home ranges after standard Indian deductions.</t>
        </is>
      </c>
      <c r="L598" s="2" t="inlineStr">
        <is>
          <t>YES</t>
        </is>
      </c>
      <c r="M598" s="2" t="inlineStr">
        <is>
          <t>HIGH</t>
        </is>
      </c>
      <c r="N598" s="2" t="inlineStr">
        <is>
          <t>READY</t>
        </is>
      </c>
      <c r="O598" s="3" t="inlineStr"/>
      <c r="P598" s="3" t="inlineStr"/>
      <c r="Q598" s="3" t="inlineStr"/>
      <c r="R598" s="3" t="inlineStr"/>
    </row>
    <row r="599" ht="20" customHeight="1">
      <c r="A599" s="4" t="inlineStr">
        <is>
          <t>ST598</t>
        </is>
      </c>
      <c r="B599" s="5" t="inlineStr">
        <is>
          <t>10 LPA to Monthly Salary: Gross Pay and Estimated Take-Home Range</t>
        </is>
      </c>
      <c r="C599" s="4" t="inlineStr">
        <is>
          <t>Career</t>
        </is>
      </c>
      <c r="D599" s="5" t="inlineStr">
        <is>
          <t>Salary</t>
        </is>
      </c>
      <c r="E599" s="4" t="inlineStr">
        <is>
          <t>Formula Guide</t>
        </is>
      </c>
      <c r="F599" s="4" t="inlineStr">
        <is>
          <t>Educational</t>
        </is>
      </c>
      <c r="G599" s="5" t="inlineStr">
        <is>
          <t>10 lpa to monthly salary</t>
        </is>
      </c>
      <c r="H599" s="5" t="inlineStr">
        <is>
          <t>10 lpa monthly gross, 10 lakh package per month, divide 10 lpa by 12</t>
        </is>
      </c>
      <c r="I599" s="5" t="inlineStr">
        <is>
          <t>Annual to Monthly Salary Calculator</t>
        </is>
      </c>
      <c r="J599" s="5" t="inlineStr">
        <is>
          <t>/career/annual-to-monthly-salary</t>
        </is>
      </c>
      <c r="K599" s="5" t="inlineStr">
        <is>
          <t>Demonstrate dividing 10 LPA by 12 to get Gross Monthly Pay of Rs 83,333, and outline typical net take-home ranges after standard Indian deductions.</t>
        </is>
      </c>
      <c r="L599" s="4" t="inlineStr">
        <is>
          <t>YES</t>
        </is>
      </c>
      <c r="M599" s="4" t="inlineStr">
        <is>
          <t>HIGH</t>
        </is>
      </c>
      <c r="N599" s="4" t="inlineStr">
        <is>
          <t>READY</t>
        </is>
      </c>
      <c r="O599" s="5" t="inlineStr"/>
      <c r="P599" s="5" t="inlineStr"/>
      <c r="Q599" s="5" t="inlineStr"/>
      <c r="R599" s="5" t="inlineStr"/>
    </row>
    <row r="600" ht="20" customHeight="1">
      <c r="A600" s="2" t="inlineStr">
        <is>
          <t>ST599</t>
        </is>
      </c>
      <c r="B600" s="3" t="inlineStr">
        <is>
          <t>12 LPA to Monthly Salary: The 1 Lakh per Month Gross Milestone</t>
        </is>
      </c>
      <c r="C600" s="2" t="inlineStr">
        <is>
          <t>Career</t>
        </is>
      </c>
      <c r="D600" s="3" t="inlineStr">
        <is>
          <t>Salary</t>
        </is>
      </c>
      <c r="E600" s="2" t="inlineStr">
        <is>
          <t>Formula Guide</t>
        </is>
      </c>
      <c r="F600" s="2" t="inlineStr">
        <is>
          <t>Educational</t>
        </is>
      </c>
      <c r="G600" s="3" t="inlineStr">
        <is>
          <t>12 lpa to monthly salary</t>
        </is>
      </c>
      <c r="H600" s="3" t="inlineStr">
        <is>
          <t>12 lpa monthly gross, 12 lakh package per month, divide 12 lpa by 12</t>
        </is>
      </c>
      <c r="I600" s="3" t="inlineStr">
        <is>
          <t>Annual to Monthly Salary Calculator</t>
        </is>
      </c>
      <c r="J600" s="3" t="inlineStr">
        <is>
          <t>/career/annual-to-monthly-salary</t>
        </is>
      </c>
      <c r="K600" s="3" t="inlineStr">
        <is>
          <t>Demonstrate dividing 12 LPA by 12 to get Gross Monthly Pay of Rs 100,000, and outline typical net take-home ranges after standard Indian deductions.</t>
        </is>
      </c>
      <c r="L600" s="2" t="inlineStr">
        <is>
          <t>YES</t>
        </is>
      </c>
      <c r="M600" s="2" t="inlineStr">
        <is>
          <t>HIGH</t>
        </is>
      </c>
      <c r="N600" s="2" t="inlineStr">
        <is>
          <t>READY</t>
        </is>
      </c>
      <c r="O600" s="3" t="inlineStr"/>
      <c r="P600" s="3" t="inlineStr"/>
      <c r="Q600" s="3" t="inlineStr"/>
      <c r="R600" s="3" t="inlineStr"/>
    </row>
    <row r="601" ht="20" customHeight="1">
      <c r="A601" s="4" t="inlineStr">
        <is>
          <t>ST600</t>
        </is>
      </c>
      <c r="B601" s="5" t="inlineStr">
        <is>
          <t>15 LPA to Monthly Salary: Gross Pay and Estimated Take-Home Range</t>
        </is>
      </c>
      <c r="C601" s="4" t="inlineStr">
        <is>
          <t>Career</t>
        </is>
      </c>
      <c r="D601" s="5" t="inlineStr">
        <is>
          <t>Salary</t>
        </is>
      </c>
      <c r="E601" s="4" t="inlineStr">
        <is>
          <t>Formula Guide</t>
        </is>
      </c>
      <c r="F601" s="4" t="inlineStr">
        <is>
          <t>Educational</t>
        </is>
      </c>
      <c r="G601" s="5" t="inlineStr">
        <is>
          <t>15 lpa to monthly salary</t>
        </is>
      </c>
      <c r="H601" s="5" t="inlineStr">
        <is>
          <t>15 lpa monthly gross, 15 lakh package per month, divide 15 lpa by 12</t>
        </is>
      </c>
      <c r="I601" s="5" t="inlineStr">
        <is>
          <t>Annual to Monthly Salary Calculator</t>
        </is>
      </c>
      <c r="J601" s="5" t="inlineStr">
        <is>
          <t>/career/annual-to-monthly-salary</t>
        </is>
      </c>
      <c r="K601" s="5" t="inlineStr">
        <is>
          <t>Demonstrate dividing 15 LPA by 12 to get Gross Monthly Pay of Rs 125,000, and outline typical net take-home ranges after standard Indian deductions.</t>
        </is>
      </c>
      <c r="L601" s="4" t="inlineStr">
        <is>
          <t>YES</t>
        </is>
      </c>
      <c r="M601" s="4" t="inlineStr">
        <is>
          <t>HIGH</t>
        </is>
      </c>
      <c r="N601" s="4" t="inlineStr">
        <is>
          <t>READY</t>
        </is>
      </c>
      <c r="O601" s="5" t="inlineStr"/>
      <c r="P601" s="5" t="inlineStr"/>
      <c r="Q601" s="5" t="inlineStr"/>
      <c r="R601" s="5" t="inlineStr"/>
    </row>
    <row r="602" ht="20" customHeight="1">
      <c r="A602" s="2" t="inlineStr">
        <is>
          <t>ST601</t>
        </is>
      </c>
      <c r="B602" s="3" t="inlineStr">
        <is>
          <t>18 LPA to Monthly Salary: Gross Pay and Estimated Take-Home Range</t>
        </is>
      </c>
      <c r="C602" s="2" t="inlineStr">
        <is>
          <t>Career</t>
        </is>
      </c>
      <c r="D602" s="3" t="inlineStr">
        <is>
          <t>Salary</t>
        </is>
      </c>
      <c r="E602" s="2" t="inlineStr">
        <is>
          <t>Formula Guide</t>
        </is>
      </c>
      <c r="F602" s="2" t="inlineStr">
        <is>
          <t>Educational</t>
        </is>
      </c>
      <c r="G602" s="3" t="inlineStr">
        <is>
          <t>18 lpa to monthly salary</t>
        </is>
      </c>
      <c r="H602" s="3" t="inlineStr">
        <is>
          <t>18 lpa monthly gross, 18 lakh package per month, divide 18 lpa by 12</t>
        </is>
      </c>
      <c r="I602" s="3" t="inlineStr">
        <is>
          <t>Annual to Monthly Salary Calculator</t>
        </is>
      </c>
      <c r="J602" s="3" t="inlineStr">
        <is>
          <t>/career/annual-to-monthly-salary</t>
        </is>
      </c>
      <c r="K602" s="3" t="inlineStr">
        <is>
          <t>Demonstrate dividing 18 LPA by 12 to get Gross Monthly Pay of Rs 150,000, and outline typical net take-home ranges after standard Indian deductions.</t>
        </is>
      </c>
      <c r="L602" s="2" t="inlineStr">
        <is>
          <t>YES</t>
        </is>
      </c>
      <c r="M602" s="2" t="inlineStr">
        <is>
          <t>HIGH</t>
        </is>
      </c>
      <c r="N602" s="2" t="inlineStr">
        <is>
          <t>READY</t>
        </is>
      </c>
      <c r="O602" s="3" t="inlineStr"/>
      <c r="P602" s="3" t="inlineStr"/>
      <c r="Q602" s="3" t="inlineStr"/>
      <c r="R602" s="3" t="inlineStr"/>
    </row>
    <row r="603" ht="20" customHeight="1">
      <c r="A603" s="4" t="inlineStr">
        <is>
          <t>ST602</t>
        </is>
      </c>
      <c r="B603" s="5" t="inlineStr">
        <is>
          <t>20 LPA to Monthly Salary: Gross Pay and Estimated Take-Home Range</t>
        </is>
      </c>
      <c r="C603" s="4" t="inlineStr">
        <is>
          <t>Career</t>
        </is>
      </c>
      <c r="D603" s="5" t="inlineStr">
        <is>
          <t>Salary</t>
        </is>
      </c>
      <c r="E603" s="4" t="inlineStr">
        <is>
          <t>Formula Guide</t>
        </is>
      </c>
      <c r="F603" s="4" t="inlineStr">
        <is>
          <t>Educational</t>
        </is>
      </c>
      <c r="G603" s="5" t="inlineStr">
        <is>
          <t>20 lpa to monthly salary</t>
        </is>
      </c>
      <c r="H603" s="5" t="inlineStr">
        <is>
          <t>20 lpa monthly gross, 20 lakh package per month, divide 20 lpa by 12</t>
        </is>
      </c>
      <c r="I603" s="5" t="inlineStr">
        <is>
          <t>Annual to Monthly Salary Calculator</t>
        </is>
      </c>
      <c r="J603" s="5" t="inlineStr">
        <is>
          <t>/career/annual-to-monthly-salary</t>
        </is>
      </c>
      <c r="K603" s="5" t="inlineStr">
        <is>
          <t>Demonstrate dividing 20 LPA by 12 to get Gross Monthly Pay of Rs 166,666, and outline typical net take-home ranges after standard Indian deductions.</t>
        </is>
      </c>
      <c r="L603" s="4" t="inlineStr">
        <is>
          <t>YES</t>
        </is>
      </c>
      <c r="M603" s="4" t="inlineStr">
        <is>
          <t>HIGH</t>
        </is>
      </c>
      <c r="N603" s="4" t="inlineStr">
        <is>
          <t>READY</t>
        </is>
      </c>
      <c r="O603" s="5" t="inlineStr"/>
      <c r="P603" s="5" t="inlineStr"/>
      <c r="Q603" s="5" t="inlineStr"/>
      <c r="R603" s="5" t="inlineStr"/>
    </row>
    <row r="604" ht="20" customHeight="1">
      <c r="A604" s="2" t="inlineStr">
        <is>
          <t>ST603</t>
        </is>
      </c>
      <c r="B604" s="3" t="inlineStr">
        <is>
          <t>24 LPA to Monthly Salary: Reaching 2 Lakhs Gross per Month</t>
        </is>
      </c>
      <c r="C604" s="2" t="inlineStr">
        <is>
          <t>Career</t>
        </is>
      </c>
      <c r="D604" s="3" t="inlineStr">
        <is>
          <t>Salary</t>
        </is>
      </c>
      <c r="E604" s="2" t="inlineStr">
        <is>
          <t>Formula Guide</t>
        </is>
      </c>
      <c r="F604" s="2" t="inlineStr">
        <is>
          <t>Educational</t>
        </is>
      </c>
      <c r="G604" s="3" t="inlineStr">
        <is>
          <t>24 lpa to monthly salary</t>
        </is>
      </c>
      <c r="H604" s="3" t="inlineStr">
        <is>
          <t>24 lpa monthly gross, 24 lakh package per month, divide 24 lpa by 12</t>
        </is>
      </c>
      <c r="I604" s="3" t="inlineStr">
        <is>
          <t>Annual to Monthly Salary Calculator</t>
        </is>
      </c>
      <c r="J604" s="3" t="inlineStr">
        <is>
          <t>/career/annual-to-monthly-salary</t>
        </is>
      </c>
      <c r="K604" s="3" t="inlineStr">
        <is>
          <t>Demonstrate dividing 24 LPA by 12 to get Gross Monthly Pay of Rs 200,000, and outline typical net take-home ranges after standard Indian deductions.</t>
        </is>
      </c>
      <c r="L604" s="2" t="inlineStr">
        <is>
          <t>YES</t>
        </is>
      </c>
      <c r="M604" s="2" t="inlineStr">
        <is>
          <t>HIGH</t>
        </is>
      </c>
      <c r="N604" s="2" t="inlineStr">
        <is>
          <t>READY</t>
        </is>
      </c>
      <c r="O604" s="3" t="inlineStr"/>
      <c r="P604" s="3" t="inlineStr"/>
      <c r="Q604" s="3" t="inlineStr"/>
      <c r="R604" s="3" t="inlineStr"/>
    </row>
    <row r="605" ht="20" customHeight="1">
      <c r="A605" s="4" t="inlineStr">
        <is>
          <t>ST604</t>
        </is>
      </c>
      <c r="B605" s="5" t="inlineStr">
        <is>
          <t>30 LPA to Monthly Salary: Gross Pay and Estimated Take-Home Range</t>
        </is>
      </c>
      <c r="C605" s="4" t="inlineStr">
        <is>
          <t>Career</t>
        </is>
      </c>
      <c r="D605" s="5" t="inlineStr">
        <is>
          <t>Salary</t>
        </is>
      </c>
      <c r="E605" s="4" t="inlineStr">
        <is>
          <t>Formula Guide</t>
        </is>
      </c>
      <c r="F605" s="4" t="inlineStr">
        <is>
          <t>Educational</t>
        </is>
      </c>
      <c r="G605" s="5" t="inlineStr">
        <is>
          <t>30 lpa to monthly salary</t>
        </is>
      </c>
      <c r="H605" s="5" t="inlineStr">
        <is>
          <t>30 lpa monthly gross, 30 lakh package per month, divide 30 lpa by 12</t>
        </is>
      </c>
      <c r="I605" s="5" t="inlineStr">
        <is>
          <t>Annual to Monthly Salary Calculator</t>
        </is>
      </c>
      <c r="J605" s="5" t="inlineStr">
        <is>
          <t>/career/annual-to-monthly-salary</t>
        </is>
      </c>
      <c r="K605" s="5" t="inlineStr">
        <is>
          <t>Demonstrate dividing 30 LPA by 12 to get Gross Monthly Pay of Rs 250,000, and outline typical net take-home ranges after standard Indian deductions.</t>
        </is>
      </c>
      <c r="L605" s="4" t="inlineStr">
        <is>
          <t>YES</t>
        </is>
      </c>
      <c r="M605" s="4" t="inlineStr">
        <is>
          <t>HIGH</t>
        </is>
      </c>
      <c r="N605" s="4" t="inlineStr">
        <is>
          <t>READY</t>
        </is>
      </c>
      <c r="O605" s="5" t="inlineStr"/>
      <c r="P605" s="5" t="inlineStr"/>
      <c r="Q605" s="5" t="inlineStr"/>
      <c r="R605" s="5" t="inlineStr"/>
    </row>
    <row r="606" ht="20" customHeight="1">
      <c r="A606" s="2" t="inlineStr">
        <is>
          <t>ST605</t>
        </is>
      </c>
      <c r="B606" s="3" t="inlineStr">
        <is>
          <t>50 LPA to Monthly Salary: Executive Package Paycheck Analysis</t>
        </is>
      </c>
      <c r="C606" s="2" t="inlineStr">
        <is>
          <t>Career</t>
        </is>
      </c>
      <c r="D606" s="3" t="inlineStr">
        <is>
          <t>Salary</t>
        </is>
      </c>
      <c r="E606" s="2" t="inlineStr">
        <is>
          <t>Formula Guide</t>
        </is>
      </c>
      <c r="F606" s="2" t="inlineStr">
        <is>
          <t>Educational</t>
        </is>
      </c>
      <c r="G606" s="3" t="inlineStr">
        <is>
          <t>50 lpa to monthly salary</t>
        </is>
      </c>
      <c r="H606" s="3" t="inlineStr">
        <is>
          <t>50 lpa monthly gross, 50 lakh package per month, divide 50 lpa by 12</t>
        </is>
      </c>
      <c r="I606" s="3" t="inlineStr">
        <is>
          <t>Annual to Monthly Salary Calculator</t>
        </is>
      </c>
      <c r="J606" s="3" t="inlineStr">
        <is>
          <t>/career/annual-to-monthly-salary</t>
        </is>
      </c>
      <c r="K606" s="3" t="inlineStr">
        <is>
          <t>Demonstrate dividing 50 LPA by 12 to get Gross Monthly Pay of Rs 416,666, and outline typical net take-home ranges after standard Indian deductions.</t>
        </is>
      </c>
      <c r="L606" s="2" t="inlineStr">
        <is>
          <t>YES</t>
        </is>
      </c>
      <c r="M606" s="2" t="inlineStr">
        <is>
          <t>HIGH</t>
        </is>
      </c>
      <c r="N606" s="2" t="inlineStr">
        <is>
          <t>READY</t>
        </is>
      </c>
      <c r="O606" s="3" t="inlineStr"/>
      <c r="P606" s="3" t="inlineStr"/>
      <c r="Q606" s="3" t="inlineStr"/>
      <c r="R606" s="3" t="inlineStr"/>
    </row>
    <row r="607" ht="20" customHeight="1">
      <c r="A607" s="4" t="inlineStr">
        <is>
          <t>ST606</t>
        </is>
      </c>
      <c r="B607" s="5" t="inlineStr">
        <is>
          <t>How to Calculate Salary Hike Percentage: Step-by-Step Mathematical Formula</t>
        </is>
      </c>
      <c r="C607" s="4" t="inlineStr">
        <is>
          <t>Career</t>
        </is>
      </c>
      <c r="D607" s="5" t="inlineStr">
        <is>
          <t>Salary Hike</t>
        </is>
      </c>
      <c r="E607" s="4" t="inlineStr">
        <is>
          <t>Formula Guide</t>
        </is>
      </c>
      <c r="F607" s="4" t="inlineStr">
        <is>
          <t>How-To</t>
        </is>
      </c>
      <c r="G607" s="5" t="inlineStr">
        <is>
          <t>how to calculate salary hike percentage</t>
        </is>
      </c>
      <c r="H607" s="5" t="inlineStr">
        <is>
          <t>salary hike percentage formula, appraisal hike formula, calculate hike from old and new salary</t>
        </is>
      </c>
      <c r="I607" s="5" t="inlineStr">
        <is>
          <t>Salary Hike Calculator</t>
        </is>
      </c>
      <c r="J607" s="5" t="inlineStr">
        <is>
          <t>/career/salary-hike</t>
        </is>
      </c>
      <c r="K607" s="5" t="inlineStr">
        <is>
          <t>Formula: Hike % = ((New Salary - Old Salary) / Old Salary) * 100. Provide multiple examples comparing appraisal increments and job switch offers.</t>
        </is>
      </c>
      <c r="L607" s="4" t="inlineStr">
        <is>
          <t>YES</t>
        </is>
      </c>
      <c r="M607" s="4" t="inlineStr">
        <is>
          <t>HIGH</t>
        </is>
      </c>
      <c r="N607" s="4" t="inlineStr">
        <is>
          <t>READY</t>
        </is>
      </c>
      <c r="O607" s="5" t="inlineStr"/>
      <c r="P607" s="5" t="inlineStr"/>
      <c r="Q607" s="5" t="inlineStr"/>
      <c r="R607" s="5" t="inlineStr"/>
    </row>
    <row r="608" ht="20" customHeight="1">
      <c r="A608" s="2" t="inlineStr">
        <is>
          <t>ST607</t>
        </is>
      </c>
      <c r="B608" s="3" t="inlineStr">
        <is>
          <t>Average Salary Hike in Indian IT and Corporate Appraisals: What to Realistically Expect</t>
        </is>
      </c>
      <c r="C608" s="2" t="inlineStr">
        <is>
          <t>Career</t>
        </is>
      </c>
      <c r="D608" s="3" t="inlineStr">
        <is>
          <t>Salary Hike</t>
        </is>
      </c>
      <c r="E608" s="2" t="inlineStr">
        <is>
          <t>Guide</t>
        </is>
      </c>
      <c r="F608" s="2" t="inlineStr">
        <is>
          <t>Informational</t>
        </is>
      </c>
      <c r="G608" s="3" t="inlineStr">
        <is>
          <t>average salary hike in it companies india</t>
        </is>
      </c>
      <c r="H608" s="3" t="inlineStr">
        <is>
          <t>annual appraisal percentage benchmark, good appraisal hike percentage, salary increment trends india</t>
        </is>
      </c>
      <c r="I608" s="3" t="inlineStr">
        <is>
          <t>Salary Hike Calculator</t>
        </is>
      </c>
      <c r="J608" s="3" t="inlineStr">
        <is>
          <t>/career/salary-hike</t>
        </is>
      </c>
      <c r="K608" s="3" t="inlineStr">
        <is>
          <t>Benchmark typical appraisal bands: Below Average (3-6%), Average (7-10%), High Performer (12-18%), and Exceptional/Promotion (20-25%).</t>
        </is>
      </c>
      <c r="L608" s="2" t="inlineStr">
        <is>
          <t>YES</t>
        </is>
      </c>
      <c r="M608" s="2" t="inlineStr">
        <is>
          <t>HIGH</t>
        </is>
      </c>
      <c r="N608" s="2" t="inlineStr">
        <is>
          <t>READY</t>
        </is>
      </c>
      <c r="O608" s="3" t="inlineStr"/>
      <c r="P608" s="3" t="inlineStr"/>
      <c r="Q608" s="3" t="inlineStr"/>
      <c r="R608" s="3" t="inlineStr"/>
    </row>
    <row r="609" ht="20" customHeight="1">
      <c r="A609" s="4" t="inlineStr">
        <is>
          <t>ST608</t>
        </is>
      </c>
      <c r="B609" s="5" t="inlineStr">
        <is>
          <t>What Is a Good Salary Hike for a Job Switch in India? (20%, 30%, or 50%?)</t>
        </is>
      </c>
      <c r="C609" s="4" t="inlineStr">
        <is>
          <t>Career</t>
        </is>
      </c>
      <c r="D609" s="5" t="inlineStr">
        <is>
          <t>Salary Hike</t>
        </is>
      </c>
      <c r="E609" s="4" t="inlineStr">
        <is>
          <t>Guide</t>
        </is>
      </c>
      <c r="F609" s="4" t="inlineStr">
        <is>
          <t>Planning</t>
        </is>
      </c>
      <c r="G609" s="5" t="inlineStr">
        <is>
          <t>how much hike to ask for job switch</t>
        </is>
      </c>
      <c r="H609" s="5" t="inlineStr">
        <is>
          <t>standard job switch hike percentage, 30 percent hike on ctc, negotiating salary hike in interview</t>
        </is>
      </c>
      <c r="I609" s="5" t="inlineStr">
        <is>
          <t>Salary Hike Calculator</t>
        </is>
      </c>
      <c r="J609" s="5" t="inlineStr">
        <is>
          <t>/career/salary-hike</t>
        </is>
      </c>
      <c r="K609" s="5" t="inlineStr">
        <is>
          <t>Examine market norms for switching companies: standard 30% baseline hike, premium hikes for niche skills (40-60%), and evaluating total net value.</t>
        </is>
      </c>
      <c r="L609" s="4" t="inlineStr">
        <is>
          <t>YES</t>
        </is>
      </c>
      <c r="M609" s="4" t="inlineStr">
        <is>
          <t>HIGH</t>
        </is>
      </c>
      <c r="N609" s="4" t="inlineStr">
        <is>
          <t>READY</t>
        </is>
      </c>
      <c r="O609" s="5" t="inlineStr"/>
      <c r="P609" s="5" t="inlineStr"/>
      <c r="Q609" s="5" t="inlineStr"/>
      <c r="R609" s="5" t="inlineStr"/>
    </row>
    <row r="610" ht="20" customHeight="1">
      <c r="A610" s="2" t="inlineStr">
        <is>
          <t>ST609</t>
        </is>
      </c>
      <c r="B610" s="3" t="inlineStr">
        <is>
          <t>How to Calculate Your New Salary After a 15%, 20%, or 30% Appraisal Hike</t>
        </is>
      </c>
      <c r="C610" s="2" t="inlineStr">
        <is>
          <t>Career</t>
        </is>
      </c>
      <c r="D610" s="3" t="inlineStr">
        <is>
          <t>Salary Hike</t>
        </is>
      </c>
      <c r="E610" s="2" t="inlineStr">
        <is>
          <t>Formula Guide</t>
        </is>
      </c>
      <c r="F610" s="2" t="inlineStr">
        <is>
          <t>How-To</t>
        </is>
      </c>
      <c r="G610" s="3" t="inlineStr">
        <is>
          <t>how to calculate new salary after hike</t>
        </is>
      </c>
      <c r="H610" s="3" t="inlineStr">
        <is>
          <t>new salary calculation formula, 20 percent hike on current salary, appraisal salary multiplier</t>
        </is>
      </c>
      <c r="I610" s="3" t="inlineStr">
        <is>
          <t>Salary Hike Calculator</t>
        </is>
      </c>
      <c r="J610" s="3" t="inlineStr">
        <is>
          <t>/career/salary-hike</t>
        </is>
      </c>
      <c r="K610" s="3" t="inlineStr">
        <is>
          <t>Formula: New Salary = Current Salary * (1 + Hike% / 100). Show quick multiplier shortcuts: 1.15 for 15%, 1.20 for 20%, 1.30 for 30%.</t>
        </is>
      </c>
      <c r="L610" s="2" t="inlineStr">
        <is>
          <t>YES</t>
        </is>
      </c>
      <c r="M610" s="2" t="inlineStr">
        <is>
          <t>HIGH</t>
        </is>
      </c>
      <c r="N610" s="2" t="inlineStr">
        <is>
          <t>READY</t>
        </is>
      </c>
      <c r="O610" s="3" t="inlineStr"/>
      <c r="P610" s="3" t="inlineStr"/>
      <c r="Q610" s="3" t="inlineStr"/>
      <c r="R610" s="3" t="inlineStr"/>
    </row>
    <row r="611" ht="20" customHeight="1">
      <c r="A611" s="4" t="inlineStr">
        <is>
          <t>ST610</t>
        </is>
      </c>
      <c r="B611" s="5" t="inlineStr">
        <is>
          <t>Why a 30% CTC Hike Does Not Mean a 30% Increase in In-Hand Monthly Cash</t>
        </is>
      </c>
      <c r="C611" s="4" t="inlineStr">
        <is>
          <t>Career</t>
        </is>
      </c>
      <c r="D611" s="5" t="inlineStr">
        <is>
          <t>Salary Hike</t>
        </is>
      </c>
      <c r="E611" s="4" t="inlineStr">
        <is>
          <t>Explanation</t>
        </is>
      </c>
      <c r="F611" s="4" t="inlineStr">
        <is>
          <t>Educational</t>
        </is>
      </c>
      <c r="G611" s="5" t="inlineStr">
        <is>
          <t>why salary hike does not reflect in take home</t>
        </is>
      </c>
      <c r="H611" s="5" t="inlineStr">
        <is>
          <t>higher tax slab after hike, tax bracket jump take home pay, real in hand hike calculation</t>
        </is>
      </c>
      <c r="I611" s="5" t="inlineStr">
        <is>
          <t>Salary Hike Calculator</t>
        </is>
      </c>
      <c r="J611" s="5" t="inlineStr">
        <is>
          <t>/career/salary-hike</t>
        </is>
      </c>
      <c r="K611" s="5" t="inlineStr">
        <is>
          <t>Explain tax bracket progression: higher incremental earnings are taxed at higher marginal rates (e.g. 20% or 30%), plus higher PF contributions, dampening net monthly gains.</t>
        </is>
      </c>
      <c r="L611" s="4" t="inlineStr">
        <is>
          <t>YES</t>
        </is>
      </c>
      <c r="M611" s="4" t="inlineStr">
        <is>
          <t>HIGH</t>
        </is>
      </c>
      <c r="N611" s="4" t="inlineStr">
        <is>
          <t>READY</t>
        </is>
      </c>
      <c r="O611" s="5" t="inlineStr"/>
      <c r="P611" s="5" t="inlineStr"/>
      <c r="Q611" s="5" t="inlineStr"/>
      <c r="R611" s="5" t="inlineStr"/>
    </row>
    <row r="612" ht="20" customHeight="1">
      <c r="A612" s="2" t="inlineStr">
        <is>
          <t>ST611</t>
        </is>
      </c>
      <c r="B612" s="3" t="inlineStr">
        <is>
          <t>How to Negotiate a Salary Hike When Countering a Job Offer</t>
        </is>
      </c>
      <c r="C612" s="2" t="inlineStr">
        <is>
          <t>Career</t>
        </is>
      </c>
      <c r="D612" s="3" t="inlineStr">
        <is>
          <t>Salary Hike</t>
        </is>
      </c>
      <c r="E612" s="2" t="inlineStr">
        <is>
          <t>Guide</t>
        </is>
      </c>
      <c r="F612" s="2" t="inlineStr">
        <is>
          <t>How-To</t>
        </is>
      </c>
      <c r="G612" s="3" t="inlineStr">
        <is>
          <t>how to negotiate salary hike job offer</t>
        </is>
      </c>
      <c r="H612" s="3" t="inlineStr">
        <is>
          <t>counter offer negotiation script, asking for 40 percent hike, handling hr salary negotiation</t>
        </is>
      </c>
      <c r="I612" s="3" t="inlineStr">
        <is>
          <t>Salary Hike Calculator</t>
        </is>
      </c>
      <c r="J612" s="3" t="inlineStr">
        <is>
          <t>/career/salary-hike</t>
        </is>
      </c>
      <c r="K612" s="3" t="inlineStr">
        <is>
          <t>Actionable negotiation framework: anchoring against market data, emphasizing proven business impact, and asking for performance-linked joining bonuses.</t>
        </is>
      </c>
      <c r="L612" s="2" t="inlineStr">
        <is>
          <t>YES</t>
        </is>
      </c>
      <c r="M612" s="2" t="inlineStr">
        <is>
          <t>HIGH</t>
        </is>
      </c>
      <c r="N612" s="2" t="inlineStr">
        <is>
          <t>READY</t>
        </is>
      </c>
      <c r="O612" s="3" t="inlineStr"/>
      <c r="P612" s="3" t="inlineStr"/>
      <c r="Q612" s="3" t="inlineStr"/>
      <c r="R612" s="3" t="inlineStr"/>
    </row>
    <row r="613" ht="20" customHeight="1">
      <c r="A613" s="4" t="inlineStr">
        <is>
          <t>ST612</t>
        </is>
      </c>
      <c r="B613" s="5" t="inlineStr">
        <is>
          <t>The Cost-of-Living Trap: Why a 40% Hike Moving from Tier-2 to Bangalore or Mumbai Can Be a Pay Cut</t>
        </is>
      </c>
      <c r="C613" s="4" t="inlineStr">
        <is>
          <t>Career</t>
        </is>
      </c>
      <c r="D613" s="5" t="inlineStr">
        <is>
          <t>Salary Hike</t>
        </is>
      </c>
      <c r="E613" s="4" t="inlineStr">
        <is>
          <t>Comparison</t>
        </is>
      </c>
      <c r="F613" s="4" t="inlineStr">
        <is>
          <t>Educational</t>
        </is>
      </c>
      <c r="G613" s="5" t="inlineStr">
        <is>
          <t>salary hike vs cost of living increase</t>
        </is>
      </c>
      <c r="H613" s="5" t="inlineStr">
        <is>
          <t>relocating to bangalore salary hike, tier 2 to tier 1 salary comparison, real purchasing power salary</t>
        </is>
      </c>
      <c r="I613" s="5" t="inlineStr">
        <is>
          <t>Salary Hike Calculator</t>
        </is>
      </c>
      <c r="J613" s="5" t="inlineStr">
        <is>
          <t>/career/salary-hike</t>
        </is>
      </c>
      <c r="K613" s="5" t="inlineStr">
        <is>
          <t>Calculate purchasing power parity between cities: how higher rent, security deposits, and commuting costs in tier-1 metros can negate a 30-40% nominal hike.</t>
        </is>
      </c>
      <c r="L613" s="4" t="inlineStr">
        <is>
          <t>YES</t>
        </is>
      </c>
      <c r="M613" s="4" t="inlineStr">
        <is>
          <t>HIGH</t>
        </is>
      </c>
      <c r="N613" s="4" t="inlineStr">
        <is>
          <t>READY</t>
        </is>
      </c>
      <c r="O613" s="5" t="inlineStr"/>
      <c r="P613" s="5" t="inlineStr"/>
      <c r="Q613" s="5" t="inlineStr"/>
      <c r="R613" s="5" t="inlineStr"/>
    </row>
    <row r="614" ht="20" customHeight="1">
      <c r="A614" s="2" t="inlineStr">
        <is>
          <t>ST613</t>
        </is>
      </c>
      <c r="B614" s="3" t="inlineStr">
        <is>
          <t>How to Calculate Monthly Increment from an Annual Percentage Hike</t>
        </is>
      </c>
      <c r="C614" s="2" t="inlineStr">
        <is>
          <t>Career</t>
        </is>
      </c>
      <c r="D614" s="3" t="inlineStr">
        <is>
          <t>Salary Hike</t>
        </is>
      </c>
      <c r="E614" s="2" t="inlineStr">
        <is>
          <t>How-To</t>
        </is>
      </c>
      <c r="F614" s="2" t="inlineStr">
        <is>
          <t>How-To</t>
        </is>
      </c>
      <c r="G614" s="3" t="inlineStr">
        <is>
          <t>calculate monthly increase from annual hike</t>
        </is>
      </c>
      <c r="H614" s="3" t="inlineStr">
        <is>
          <t>monthly salary increment calculation, annual hike to monthly pay raise, salary increase per month</t>
        </is>
      </c>
      <c r="I614" s="3" t="inlineStr">
        <is>
          <t>Salary Hike Calculator</t>
        </is>
      </c>
      <c r="J614" s="3" t="inlineStr">
        <is>
          <t>/career/salary-hike</t>
        </is>
      </c>
      <c r="K614" s="3" t="inlineStr">
        <is>
          <t>Formula: Monthly Increment = (Annual Increment Amount) / 12. Show worked examples across various CTC brackets.</t>
        </is>
      </c>
      <c r="L614" s="2" t="inlineStr">
        <is>
          <t>YES</t>
        </is>
      </c>
      <c r="M614" s="2" t="inlineStr">
        <is>
          <t>HIGH</t>
        </is>
      </c>
      <c r="N614" s="2" t="inlineStr">
        <is>
          <t>READY</t>
        </is>
      </c>
      <c r="O614" s="3" t="inlineStr"/>
      <c r="P614" s="3" t="inlineStr"/>
      <c r="Q614" s="3" t="inlineStr"/>
      <c r="R614" s="3" t="inlineStr"/>
    </row>
    <row r="615" ht="20" customHeight="1">
      <c r="A615" s="4" t="inlineStr">
        <is>
          <t>ST614</t>
        </is>
      </c>
      <c r="B615" s="5" t="inlineStr">
        <is>
          <t>Promotion Hike vs Annual Appraisal Hike: What Is the Difference?</t>
        </is>
      </c>
      <c r="C615" s="4" t="inlineStr">
        <is>
          <t>Career</t>
        </is>
      </c>
      <c r="D615" s="5" t="inlineStr">
        <is>
          <t>Salary Hike</t>
        </is>
      </c>
      <c r="E615" s="4" t="inlineStr">
        <is>
          <t>Comparison</t>
        </is>
      </c>
      <c r="F615" s="4" t="inlineStr">
        <is>
          <t>Informational</t>
        </is>
      </c>
      <c r="G615" s="5" t="inlineStr">
        <is>
          <t>promotion hike vs appraisal hike</t>
        </is>
      </c>
      <c r="H615" s="5" t="inlineStr">
        <is>
          <t>band change salary increment, typical promotion percentage india, annual merit increase vs promotion</t>
        </is>
      </c>
      <c r="I615" s="5" t="inlineStr">
        <is>
          <t>Salary Hike Calculator</t>
        </is>
      </c>
      <c r="J615" s="5" t="inlineStr">
        <is>
          <t>/career/salary-hike</t>
        </is>
      </c>
      <c r="K615" s="5" t="inlineStr">
        <is>
          <t>Explain organizational compensation structures: regular cost-of-living/merit increments (5-10%) vs grade/band elevation increments (15-30%).</t>
        </is>
      </c>
      <c r="L615" s="4" t="inlineStr">
        <is>
          <t>YES</t>
        </is>
      </c>
      <c r="M615" s="4" t="inlineStr">
        <is>
          <t>MEDIUM</t>
        </is>
      </c>
      <c r="N615" s="4" t="inlineStr">
        <is>
          <t>READY</t>
        </is>
      </c>
      <c r="O615" s="5" t="inlineStr"/>
      <c r="P615" s="5" t="inlineStr"/>
      <c r="Q615" s="5" t="inlineStr"/>
      <c r="R615" s="5" t="inlineStr"/>
    </row>
    <row r="616" ht="20" customHeight="1">
      <c r="A616" s="2" t="inlineStr">
        <is>
          <t>ST615</t>
        </is>
      </c>
      <c r="B616" s="3" t="inlineStr">
        <is>
          <t>How to Factor In Notice Period Buyout and Relocation into Your Hike Calculation</t>
        </is>
      </c>
      <c r="C616" s="2" t="inlineStr">
        <is>
          <t>Career</t>
        </is>
      </c>
      <c r="D616" s="3" t="inlineStr">
        <is>
          <t>Salary Hike</t>
        </is>
      </c>
      <c r="E616" s="2" t="inlineStr">
        <is>
          <t>Guide</t>
        </is>
      </c>
      <c r="F616" s="2" t="inlineStr">
        <is>
          <t>Planning</t>
        </is>
      </c>
      <c r="G616" s="3" t="inlineStr">
        <is>
          <t>calculating total value of job switch</t>
        </is>
      </c>
      <c r="H616" s="3" t="inlineStr">
        <is>
          <t>joining bonus compensation, factoring relocation in job offer, net first year compensation hike</t>
        </is>
      </c>
      <c r="I616" s="3" t="inlineStr">
        <is>
          <t>Salary Hike Calculator</t>
        </is>
      </c>
      <c r="J616" s="3" t="inlineStr">
        <is>
          <t>/career/salary-hike</t>
        </is>
      </c>
      <c r="K616" s="3" t="inlineStr">
        <is>
          <t>Teach candidates to calculate Total First Year Earnings (Base Hike + Joining Bonus + Relocation Assistance) to compare true offer value.</t>
        </is>
      </c>
      <c r="L616" s="2" t="inlineStr">
        <is>
          <t>YES</t>
        </is>
      </c>
      <c r="M616" s="2" t="inlineStr">
        <is>
          <t>HIGH</t>
        </is>
      </c>
      <c r="N616" s="2" t="inlineStr">
        <is>
          <t>READY</t>
        </is>
      </c>
      <c r="O616" s="3" t="inlineStr"/>
      <c r="P616" s="3" t="inlineStr"/>
      <c r="Q616" s="3" t="inlineStr"/>
      <c r="R616" s="3" t="inlineStr"/>
    </row>
    <row r="617" ht="20" customHeight="1">
      <c r="A617" s="4" t="inlineStr">
        <is>
          <t>ST616</t>
        </is>
      </c>
      <c r="B617" s="5" t="inlineStr">
        <is>
          <t>5% Salary Hike: Calculating Your Revised Monthly Paycheck and Annual Gain</t>
        </is>
      </c>
      <c r="C617" s="4" t="inlineStr">
        <is>
          <t>Career</t>
        </is>
      </c>
      <c r="D617" s="5" t="inlineStr">
        <is>
          <t>Salary Hike</t>
        </is>
      </c>
      <c r="E617" s="4" t="inlineStr">
        <is>
          <t>Explanation</t>
        </is>
      </c>
      <c r="F617" s="4" t="inlineStr">
        <is>
          <t>Educational</t>
        </is>
      </c>
      <c r="G617" s="5" t="inlineStr">
        <is>
          <t>5 percent salary hike</t>
        </is>
      </c>
      <c r="H617" s="5" t="inlineStr">
        <is>
          <t>calculate 5 percent hike, 5 hike on ctc, revised salary after 5 hike</t>
        </is>
      </c>
      <c r="I617" s="5" t="inlineStr">
        <is>
          <t>Salary Hike Calculator</t>
        </is>
      </c>
      <c r="J617" s="5" t="inlineStr">
        <is>
          <t>/career/salary-hike</t>
        </is>
      </c>
      <c r="K617" s="5" t="inlineStr">
        <is>
          <t>Demonstrate exact mathematical calculation for a 5% salary hike across representative Indian packages (5 LPA, 10 LPA, 15 LPA, 25 LPA), comparing gross gains against actual net bank credit after income tax and PF deductions.</t>
        </is>
      </c>
      <c r="L617" s="4" t="inlineStr">
        <is>
          <t>YES</t>
        </is>
      </c>
      <c r="M617" s="4" t="inlineStr">
        <is>
          <t>MEDIUM</t>
        </is>
      </c>
      <c r="N617" s="4" t="inlineStr">
        <is>
          <t>READY</t>
        </is>
      </c>
      <c r="O617" s="5" t="inlineStr"/>
      <c r="P617" s="5" t="inlineStr"/>
      <c r="Q617" s="5" t="inlineStr"/>
      <c r="R617" s="5" t="inlineStr"/>
    </row>
    <row r="618" ht="20" customHeight="1">
      <c r="A618" s="2" t="inlineStr">
        <is>
          <t>ST617</t>
        </is>
      </c>
      <c r="B618" s="3" t="inlineStr">
        <is>
          <t>8% Salary Hike: Standard Corporate Appraisal Calculation Breakdown</t>
        </is>
      </c>
      <c r="C618" s="2" t="inlineStr">
        <is>
          <t>Career</t>
        </is>
      </c>
      <c r="D618" s="3" t="inlineStr">
        <is>
          <t>Salary Hike</t>
        </is>
      </c>
      <c r="E618" s="2" t="inlineStr">
        <is>
          <t>Explanation</t>
        </is>
      </c>
      <c r="F618" s="2" t="inlineStr">
        <is>
          <t>Educational</t>
        </is>
      </c>
      <c r="G618" s="3" t="inlineStr">
        <is>
          <t>8 percent salary hike</t>
        </is>
      </c>
      <c r="H618" s="3" t="inlineStr">
        <is>
          <t>calculate 8 percent hike, 8 hike on ctc, revised salary after 8 hike</t>
        </is>
      </c>
      <c r="I618" s="3" t="inlineStr">
        <is>
          <t>Salary Hike Calculator</t>
        </is>
      </c>
      <c r="J618" s="3" t="inlineStr">
        <is>
          <t>/career/salary-hike</t>
        </is>
      </c>
      <c r="K618" s="3" t="inlineStr">
        <is>
          <t>Demonstrate exact mathematical calculation for a 8% salary hike across representative Indian packages (5 LPA, 10 LPA, 15 LPA, 25 LPA), comparing gross gains against actual net bank credit after income tax and PF deductions.</t>
        </is>
      </c>
      <c r="L618" s="2" t="inlineStr">
        <is>
          <t>YES</t>
        </is>
      </c>
      <c r="M618" s="2" t="inlineStr">
        <is>
          <t>MEDIUM</t>
        </is>
      </c>
      <c r="N618" s="2" t="inlineStr">
        <is>
          <t>READY</t>
        </is>
      </c>
      <c r="O618" s="3" t="inlineStr"/>
      <c r="P618" s="3" t="inlineStr"/>
      <c r="Q618" s="3" t="inlineStr"/>
      <c r="R618" s="3" t="inlineStr"/>
    </row>
    <row r="619" ht="20" customHeight="1">
      <c r="A619" s="4" t="inlineStr">
        <is>
          <t>ST618</t>
        </is>
      </c>
      <c r="B619" s="5" t="inlineStr">
        <is>
          <t>10% Salary Hike: Double-Digit Appraisal Milestone and Take-Home Impact</t>
        </is>
      </c>
      <c r="C619" s="4" t="inlineStr">
        <is>
          <t>Career</t>
        </is>
      </c>
      <c r="D619" s="5" t="inlineStr">
        <is>
          <t>Salary Hike</t>
        </is>
      </c>
      <c r="E619" s="4" t="inlineStr">
        <is>
          <t>Explanation</t>
        </is>
      </c>
      <c r="F619" s="4" t="inlineStr">
        <is>
          <t>Educational</t>
        </is>
      </c>
      <c r="G619" s="5" t="inlineStr">
        <is>
          <t>10 percent salary hike</t>
        </is>
      </c>
      <c r="H619" s="5" t="inlineStr">
        <is>
          <t>calculate 10 percent hike, 10 hike on ctc, revised salary after 10 hike</t>
        </is>
      </c>
      <c r="I619" s="5" t="inlineStr">
        <is>
          <t>Salary Hike Calculator</t>
        </is>
      </c>
      <c r="J619" s="5" t="inlineStr">
        <is>
          <t>/career/salary-hike</t>
        </is>
      </c>
      <c r="K619" s="5" t="inlineStr">
        <is>
          <t>Demonstrate exact mathematical calculation for a 10% salary hike across representative Indian packages (5 LPA, 10 LPA, 15 LPA, 25 LPA), comparing gross gains against actual net bank credit after income tax and PF deductions.</t>
        </is>
      </c>
      <c r="L619" s="4" t="inlineStr">
        <is>
          <t>YES</t>
        </is>
      </c>
      <c r="M619" s="4" t="inlineStr">
        <is>
          <t>HIGH</t>
        </is>
      </c>
      <c r="N619" s="4" t="inlineStr">
        <is>
          <t>READY</t>
        </is>
      </c>
      <c r="O619" s="5" t="inlineStr"/>
      <c r="P619" s="5" t="inlineStr"/>
      <c r="Q619" s="5" t="inlineStr"/>
      <c r="R619" s="5" t="inlineStr"/>
    </row>
    <row r="620" ht="20" customHeight="1">
      <c r="A620" s="2" t="inlineStr">
        <is>
          <t>ST619</t>
        </is>
      </c>
      <c r="B620" s="3" t="inlineStr">
        <is>
          <t>12% Salary Hike: Above-Average Performance Increment Calculation</t>
        </is>
      </c>
      <c r="C620" s="2" t="inlineStr">
        <is>
          <t>Career</t>
        </is>
      </c>
      <c r="D620" s="3" t="inlineStr">
        <is>
          <t>Salary Hike</t>
        </is>
      </c>
      <c r="E620" s="2" t="inlineStr">
        <is>
          <t>Explanation</t>
        </is>
      </c>
      <c r="F620" s="2" t="inlineStr">
        <is>
          <t>Educational</t>
        </is>
      </c>
      <c r="G620" s="3" t="inlineStr">
        <is>
          <t>12 percent salary hike</t>
        </is>
      </c>
      <c r="H620" s="3" t="inlineStr">
        <is>
          <t>calculate 12 percent hike, 12 hike on ctc, revised salary after 12 hike</t>
        </is>
      </c>
      <c r="I620" s="3" t="inlineStr">
        <is>
          <t>Salary Hike Calculator</t>
        </is>
      </c>
      <c r="J620" s="3" t="inlineStr">
        <is>
          <t>/career/salary-hike</t>
        </is>
      </c>
      <c r="K620" s="3" t="inlineStr">
        <is>
          <t>Demonstrate exact mathematical calculation for a 12% salary hike across representative Indian packages (5 LPA, 10 LPA, 15 LPA, 25 LPA), comparing gross gains against actual net bank credit after income tax and PF deductions.</t>
        </is>
      </c>
      <c r="L620" s="2" t="inlineStr">
        <is>
          <t>YES</t>
        </is>
      </c>
      <c r="M620" s="2" t="inlineStr">
        <is>
          <t>MEDIUM</t>
        </is>
      </c>
      <c r="N620" s="2" t="inlineStr">
        <is>
          <t>READY</t>
        </is>
      </c>
      <c r="O620" s="3" t="inlineStr"/>
      <c r="P620" s="3" t="inlineStr"/>
      <c r="Q620" s="3" t="inlineStr"/>
      <c r="R620" s="3" t="inlineStr"/>
    </row>
    <row r="621" ht="20" customHeight="1">
      <c r="A621" s="4" t="inlineStr">
        <is>
          <t>ST620</t>
        </is>
      </c>
      <c r="B621" s="5" t="inlineStr">
        <is>
          <t>15% Salary Hike: High-Performer Rating Paycheck Calculation</t>
        </is>
      </c>
      <c r="C621" s="4" t="inlineStr">
        <is>
          <t>Career</t>
        </is>
      </c>
      <c r="D621" s="5" t="inlineStr">
        <is>
          <t>Salary Hike</t>
        </is>
      </c>
      <c r="E621" s="4" t="inlineStr">
        <is>
          <t>Explanation</t>
        </is>
      </c>
      <c r="F621" s="4" t="inlineStr">
        <is>
          <t>Educational</t>
        </is>
      </c>
      <c r="G621" s="5" t="inlineStr">
        <is>
          <t>15 percent salary hike</t>
        </is>
      </c>
      <c r="H621" s="5" t="inlineStr">
        <is>
          <t>calculate 15 percent hike, 15 hike on ctc, revised salary after 15 hike</t>
        </is>
      </c>
      <c r="I621" s="5" t="inlineStr">
        <is>
          <t>Salary Hike Calculator</t>
        </is>
      </c>
      <c r="J621" s="5" t="inlineStr">
        <is>
          <t>/career/salary-hike</t>
        </is>
      </c>
      <c r="K621" s="5" t="inlineStr">
        <is>
          <t>Demonstrate exact mathematical calculation for a 15% salary hike across representative Indian packages (5 LPA, 10 LPA, 15 LPA, 25 LPA), comparing gross gains against actual net bank credit after income tax and PF deductions.</t>
        </is>
      </c>
      <c r="L621" s="4" t="inlineStr">
        <is>
          <t>YES</t>
        </is>
      </c>
      <c r="M621" s="4" t="inlineStr">
        <is>
          <t>HIGH</t>
        </is>
      </c>
      <c r="N621" s="4" t="inlineStr">
        <is>
          <t>READY</t>
        </is>
      </c>
      <c r="O621" s="5" t="inlineStr"/>
      <c r="P621" s="5" t="inlineStr"/>
      <c r="Q621" s="5" t="inlineStr"/>
      <c r="R621" s="5" t="inlineStr"/>
    </row>
    <row r="622" ht="20" customHeight="1">
      <c r="A622" s="2" t="inlineStr">
        <is>
          <t>ST621</t>
        </is>
      </c>
      <c r="B622" s="3" t="inlineStr">
        <is>
          <t>18% Salary Hike: Fast-Track Appraisal Increment Calculation</t>
        </is>
      </c>
      <c r="C622" s="2" t="inlineStr">
        <is>
          <t>Career</t>
        </is>
      </c>
      <c r="D622" s="3" t="inlineStr">
        <is>
          <t>Salary Hike</t>
        </is>
      </c>
      <c r="E622" s="2" t="inlineStr">
        <is>
          <t>Explanation</t>
        </is>
      </c>
      <c r="F622" s="2" t="inlineStr">
        <is>
          <t>Educational</t>
        </is>
      </c>
      <c r="G622" s="3" t="inlineStr">
        <is>
          <t>18 percent salary hike</t>
        </is>
      </c>
      <c r="H622" s="3" t="inlineStr">
        <is>
          <t>calculate 18 percent hike, 18 hike on ctc, revised salary after 18 hike</t>
        </is>
      </c>
      <c r="I622" s="3" t="inlineStr">
        <is>
          <t>Salary Hike Calculator</t>
        </is>
      </c>
      <c r="J622" s="3" t="inlineStr">
        <is>
          <t>/career/salary-hike</t>
        </is>
      </c>
      <c r="K622" s="3" t="inlineStr">
        <is>
          <t>Demonstrate exact mathematical calculation for a 18% salary hike across representative Indian packages (5 LPA, 10 LPA, 15 LPA, 25 LPA), comparing gross gains against actual net bank credit after income tax and PF deductions.</t>
        </is>
      </c>
      <c r="L622" s="2" t="inlineStr">
        <is>
          <t>YES</t>
        </is>
      </c>
      <c r="M622" s="2" t="inlineStr">
        <is>
          <t>MEDIUM</t>
        </is>
      </c>
      <c r="N622" s="2" t="inlineStr">
        <is>
          <t>READY</t>
        </is>
      </c>
      <c r="O622" s="3" t="inlineStr"/>
      <c r="P622" s="3" t="inlineStr"/>
      <c r="Q622" s="3" t="inlineStr"/>
      <c r="R622" s="3" t="inlineStr"/>
    </row>
    <row r="623" ht="20" customHeight="1">
      <c r="A623" s="4" t="inlineStr">
        <is>
          <t>ST622</t>
        </is>
      </c>
      <c r="B623" s="5" t="inlineStr">
        <is>
          <t>20% Salary Hike: Promotion or Internal Role Transition Paycheck Impact</t>
        </is>
      </c>
      <c r="C623" s="4" t="inlineStr">
        <is>
          <t>Career</t>
        </is>
      </c>
      <c r="D623" s="5" t="inlineStr">
        <is>
          <t>Salary Hike</t>
        </is>
      </c>
      <c r="E623" s="4" t="inlineStr">
        <is>
          <t>Explanation</t>
        </is>
      </c>
      <c r="F623" s="4" t="inlineStr">
        <is>
          <t>Educational</t>
        </is>
      </c>
      <c r="G623" s="5" t="inlineStr">
        <is>
          <t>20 percent salary hike</t>
        </is>
      </c>
      <c r="H623" s="5" t="inlineStr">
        <is>
          <t>calculate 20 percent hike, 20 hike on ctc, revised salary after 20 hike</t>
        </is>
      </c>
      <c r="I623" s="5" t="inlineStr">
        <is>
          <t>Salary Hike Calculator</t>
        </is>
      </c>
      <c r="J623" s="5" t="inlineStr">
        <is>
          <t>/career/salary-hike</t>
        </is>
      </c>
      <c r="K623" s="5" t="inlineStr">
        <is>
          <t>Demonstrate exact mathematical calculation for a 20% salary hike across representative Indian packages (5 LPA, 10 LPA, 15 LPA, 25 LPA), comparing gross gains against actual net bank credit after income tax and PF deductions.</t>
        </is>
      </c>
      <c r="L623" s="4" t="inlineStr">
        <is>
          <t>YES</t>
        </is>
      </c>
      <c r="M623" s="4" t="inlineStr">
        <is>
          <t>HIGH</t>
        </is>
      </c>
      <c r="N623" s="4" t="inlineStr">
        <is>
          <t>READY</t>
        </is>
      </c>
      <c r="O623" s="5" t="inlineStr"/>
      <c r="P623" s="5" t="inlineStr"/>
      <c r="Q623" s="5" t="inlineStr"/>
      <c r="R623" s="5" t="inlineStr"/>
    </row>
    <row r="624" ht="20" customHeight="1">
      <c r="A624" s="2" t="inlineStr">
        <is>
          <t>ST623</t>
        </is>
      </c>
      <c r="B624" s="3" t="inlineStr">
        <is>
          <t>25% Salary Hike: Significant Career Jump Calculation Breakdown</t>
        </is>
      </c>
      <c r="C624" s="2" t="inlineStr">
        <is>
          <t>Career</t>
        </is>
      </c>
      <c r="D624" s="3" t="inlineStr">
        <is>
          <t>Salary Hike</t>
        </is>
      </c>
      <c r="E624" s="2" t="inlineStr">
        <is>
          <t>Explanation</t>
        </is>
      </c>
      <c r="F624" s="2" t="inlineStr">
        <is>
          <t>Educational</t>
        </is>
      </c>
      <c r="G624" s="3" t="inlineStr">
        <is>
          <t>25 percent salary hike</t>
        </is>
      </c>
      <c r="H624" s="3" t="inlineStr">
        <is>
          <t>calculate 25 percent hike, 25 hike on ctc, revised salary after 25 hike</t>
        </is>
      </c>
      <c r="I624" s="3" t="inlineStr">
        <is>
          <t>Salary Hike Calculator</t>
        </is>
      </c>
      <c r="J624" s="3" t="inlineStr">
        <is>
          <t>/career/salary-hike</t>
        </is>
      </c>
      <c r="K624" s="3" t="inlineStr">
        <is>
          <t>Demonstrate exact mathematical calculation for a 25% salary hike across representative Indian packages (5 LPA, 10 LPA, 15 LPA, 25 LPA), comparing gross gains against actual net bank credit after income tax and PF deductions.</t>
        </is>
      </c>
      <c r="L624" s="2" t="inlineStr">
        <is>
          <t>YES</t>
        </is>
      </c>
      <c r="M624" s="2" t="inlineStr">
        <is>
          <t>MEDIUM</t>
        </is>
      </c>
      <c r="N624" s="2" t="inlineStr">
        <is>
          <t>READY</t>
        </is>
      </c>
      <c r="O624" s="3" t="inlineStr"/>
      <c r="P624" s="3" t="inlineStr"/>
      <c r="Q624" s="3" t="inlineStr"/>
      <c r="R624" s="3" t="inlineStr"/>
    </row>
    <row r="625" ht="20" customHeight="1">
      <c r="A625" s="4" t="inlineStr">
        <is>
          <t>ST624</t>
        </is>
      </c>
      <c r="B625" s="5" t="inlineStr">
        <is>
          <t>30% Salary Hike: The Standard Job Switch Increment Formula</t>
        </is>
      </c>
      <c r="C625" s="4" t="inlineStr">
        <is>
          <t>Career</t>
        </is>
      </c>
      <c r="D625" s="5" t="inlineStr">
        <is>
          <t>Salary Hike</t>
        </is>
      </c>
      <c r="E625" s="4" t="inlineStr">
        <is>
          <t>Explanation</t>
        </is>
      </c>
      <c r="F625" s="4" t="inlineStr">
        <is>
          <t>Educational</t>
        </is>
      </c>
      <c r="G625" s="5" t="inlineStr">
        <is>
          <t>30 percent salary hike</t>
        </is>
      </c>
      <c r="H625" s="5" t="inlineStr">
        <is>
          <t>calculate 30 percent hike, 30 hike on ctc, revised salary after 30 hike</t>
        </is>
      </c>
      <c r="I625" s="5" t="inlineStr">
        <is>
          <t>Salary Hike Calculator</t>
        </is>
      </c>
      <c r="J625" s="5" t="inlineStr">
        <is>
          <t>/career/salary-hike</t>
        </is>
      </c>
      <c r="K625" s="5" t="inlineStr">
        <is>
          <t>Demonstrate exact mathematical calculation for a 30% salary hike across representative Indian packages (5 LPA, 10 LPA, 15 LPA, 25 LPA), comparing gross gains against actual net bank credit after income tax and PF deductions.</t>
        </is>
      </c>
      <c r="L625" s="4" t="inlineStr">
        <is>
          <t>YES</t>
        </is>
      </c>
      <c r="M625" s="4" t="inlineStr">
        <is>
          <t>HIGH</t>
        </is>
      </c>
      <c r="N625" s="4" t="inlineStr">
        <is>
          <t>READY</t>
        </is>
      </c>
      <c r="O625" s="5" t="inlineStr"/>
      <c r="P625" s="5" t="inlineStr"/>
      <c r="Q625" s="5" t="inlineStr"/>
      <c r="R625" s="5" t="inlineStr"/>
    </row>
    <row r="626" ht="20" customHeight="1">
      <c r="A626" s="2" t="inlineStr">
        <is>
          <t>ST625</t>
        </is>
      </c>
      <c r="B626" s="3" t="inlineStr">
        <is>
          <t>35% Salary Hike: Evaluating a Premium Lateral Job Switch Offer</t>
        </is>
      </c>
      <c r="C626" s="2" t="inlineStr">
        <is>
          <t>Career</t>
        </is>
      </c>
      <c r="D626" s="3" t="inlineStr">
        <is>
          <t>Salary Hike</t>
        </is>
      </c>
      <c r="E626" s="2" t="inlineStr">
        <is>
          <t>Explanation</t>
        </is>
      </c>
      <c r="F626" s="2" t="inlineStr">
        <is>
          <t>Educational</t>
        </is>
      </c>
      <c r="G626" s="3" t="inlineStr">
        <is>
          <t>35 percent salary hike</t>
        </is>
      </c>
      <c r="H626" s="3" t="inlineStr">
        <is>
          <t>calculate 35 percent hike, 35 hike on ctc, revised salary after 35 hike</t>
        </is>
      </c>
      <c r="I626" s="3" t="inlineStr">
        <is>
          <t>Salary Hike Calculator</t>
        </is>
      </c>
      <c r="J626" s="3" t="inlineStr">
        <is>
          <t>/career/salary-hike</t>
        </is>
      </c>
      <c r="K626" s="3" t="inlineStr">
        <is>
          <t>Demonstrate exact mathematical calculation for a 35% salary hike across representative Indian packages (5 LPA, 10 LPA, 15 LPA, 25 LPA), comparing gross gains against actual net bank credit after income tax and PF deductions.</t>
        </is>
      </c>
      <c r="L626" s="2" t="inlineStr">
        <is>
          <t>YES</t>
        </is>
      </c>
      <c r="M626" s="2" t="inlineStr">
        <is>
          <t>MEDIUM</t>
        </is>
      </c>
      <c r="N626" s="2" t="inlineStr">
        <is>
          <t>READY</t>
        </is>
      </c>
      <c r="O626" s="3" t="inlineStr"/>
      <c r="P626" s="3" t="inlineStr"/>
      <c r="Q626" s="3" t="inlineStr"/>
      <c r="R626" s="3" t="inlineStr"/>
    </row>
    <row r="627" ht="20" customHeight="1">
      <c r="A627" s="4" t="inlineStr">
        <is>
          <t>ST626</t>
        </is>
      </c>
      <c r="B627" s="5" t="inlineStr">
        <is>
          <t>40% Salary Hike: Calculating Major Career Transition Gains</t>
        </is>
      </c>
      <c r="C627" s="4" t="inlineStr">
        <is>
          <t>Career</t>
        </is>
      </c>
      <c r="D627" s="5" t="inlineStr">
        <is>
          <t>Salary Hike</t>
        </is>
      </c>
      <c r="E627" s="4" t="inlineStr">
        <is>
          <t>Explanation</t>
        </is>
      </c>
      <c r="F627" s="4" t="inlineStr">
        <is>
          <t>Educational</t>
        </is>
      </c>
      <c r="G627" s="5" t="inlineStr">
        <is>
          <t>40 percent salary hike</t>
        </is>
      </c>
      <c r="H627" s="5" t="inlineStr">
        <is>
          <t>calculate 40 percent hike, 40 hike on ctc, revised salary after 40 hike</t>
        </is>
      </c>
      <c r="I627" s="5" t="inlineStr">
        <is>
          <t>Salary Hike Calculator</t>
        </is>
      </c>
      <c r="J627" s="5" t="inlineStr">
        <is>
          <t>/career/salary-hike</t>
        </is>
      </c>
      <c r="K627" s="5" t="inlineStr">
        <is>
          <t>Demonstrate exact mathematical calculation for a 40% salary hike across representative Indian packages (5 LPA, 10 LPA, 15 LPA, 25 LPA), comparing gross gains against actual net bank credit after income tax and PF deductions.</t>
        </is>
      </c>
      <c r="L627" s="4" t="inlineStr">
        <is>
          <t>YES</t>
        </is>
      </c>
      <c r="M627" s="4" t="inlineStr">
        <is>
          <t>MEDIUM</t>
        </is>
      </c>
      <c r="N627" s="4" t="inlineStr">
        <is>
          <t>READY</t>
        </is>
      </c>
      <c r="O627" s="5" t="inlineStr"/>
      <c r="P627" s="5" t="inlineStr"/>
      <c r="Q627" s="5" t="inlineStr"/>
      <c r="R627" s="5" t="inlineStr"/>
    </row>
    <row r="628" ht="20" customHeight="1">
      <c r="A628" s="2" t="inlineStr">
        <is>
          <t>ST627</t>
        </is>
      </c>
      <c r="B628" s="3" t="inlineStr">
        <is>
          <t>50% Salary Hike: Career Leap Paycheck Breakdown and Tax Implications</t>
        </is>
      </c>
      <c r="C628" s="2" t="inlineStr">
        <is>
          <t>Career</t>
        </is>
      </c>
      <c r="D628" s="3" t="inlineStr">
        <is>
          <t>Salary Hike</t>
        </is>
      </c>
      <c r="E628" s="2" t="inlineStr">
        <is>
          <t>Explanation</t>
        </is>
      </c>
      <c r="F628" s="2" t="inlineStr">
        <is>
          <t>Educational</t>
        </is>
      </c>
      <c r="G628" s="3" t="inlineStr">
        <is>
          <t>50 percent salary hike</t>
        </is>
      </c>
      <c r="H628" s="3" t="inlineStr">
        <is>
          <t>calculate 50 percent hike, 50 hike on ctc, revised salary after 50 hike</t>
        </is>
      </c>
      <c r="I628" s="3" t="inlineStr">
        <is>
          <t>Salary Hike Calculator</t>
        </is>
      </c>
      <c r="J628" s="3" t="inlineStr">
        <is>
          <t>/career/salary-hike</t>
        </is>
      </c>
      <c r="K628" s="3" t="inlineStr">
        <is>
          <t>Demonstrate exact mathematical calculation for a 50% salary hike across representative Indian packages (5 LPA, 10 LPA, 15 LPA, 25 LPA), comparing gross gains against actual net bank credit after income tax and PF deductions.</t>
        </is>
      </c>
      <c r="L628" s="2" t="inlineStr">
        <is>
          <t>YES</t>
        </is>
      </c>
      <c r="M628" s="2" t="inlineStr">
        <is>
          <t>HIGH</t>
        </is>
      </c>
      <c r="N628" s="2" t="inlineStr">
        <is>
          <t>READY</t>
        </is>
      </c>
      <c r="O628" s="3" t="inlineStr"/>
      <c r="P628" s="3" t="inlineStr"/>
      <c r="Q628" s="3" t="inlineStr"/>
      <c r="R628" s="3" t="inlineStr"/>
    </row>
    <row r="629" ht="20" customHeight="1">
      <c r="A629" s="4" t="inlineStr">
        <is>
          <t>ST628</t>
        </is>
      </c>
      <c r="B629" s="5" t="inlineStr">
        <is>
          <t>60% Salary Hike: Niche Skill Demand Transition Calculation</t>
        </is>
      </c>
      <c r="C629" s="4" t="inlineStr">
        <is>
          <t>Career</t>
        </is>
      </c>
      <c r="D629" s="5" t="inlineStr">
        <is>
          <t>Salary Hike</t>
        </is>
      </c>
      <c r="E629" s="4" t="inlineStr">
        <is>
          <t>Explanation</t>
        </is>
      </c>
      <c r="F629" s="4" t="inlineStr">
        <is>
          <t>Educational</t>
        </is>
      </c>
      <c r="G629" s="5" t="inlineStr">
        <is>
          <t>60 percent salary hike</t>
        </is>
      </c>
      <c r="H629" s="5" t="inlineStr">
        <is>
          <t>calculate 60 percent hike, 60 hike on ctc, revised salary after 60 hike</t>
        </is>
      </c>
      <c r="I629" s="5" t="inlineStr">
        <is>
          <t>Salary Hike Calculator</t>
        </is>
      </c>
      <c r="J629" s="5" t="inlineStr">
        <is>
          <t>/career/salary-hike</t>
        </is>
      </c>
      <c r="K629" s="5" t="inlineStr">
        <is>
          <t>Demonstrate exact mathematical calculation for a 60% salary hike across representative Indian packages (5 LPA, 10 LPA, 15 LPA, 25 LPA), comparing gross gains against actual net bank credit after income tax and PF deductions.</t>
        </is>
      </c>
      <c r="L629" s="4" t="inlineStr">
        <is>
          <t>YES</t>
        </is>
      </c>
      <c r="M629" s="4" t="inlineStr">
        <is>
          <t>MEDIUM</t>
        </is>
      </c>
      <c r="N629" s="4" t="inlineStr">
        <is>
          <t>READY</t>
        </is>
      </c>
      <c r="O629" s="5" t="inlineStr"/>
      <c r="P629" s="5" t="inlineStr"/>
      <c r="Q629" s="5" t="inlineStr"/>
      <c r="R629" s="5" t="inlineStr"/>
    </row>
    <row r="630" ht="20" customHeight="1">
      <c r="A630" s="2" t="inlineStr">
        <is>
          <t>ST629</t>
        </is>
      </c>
      <c r="B630" s="3" t="inlineStr">
        <is>
          <t>75% Salary Hike: Startup to Big Tech Transition Paycheck Reality</t>
        </is>
      </c>
      <c r="C630" s="2" t="inlineStr">
        <is>
          <t>Career</t>
        </is>
      </c>
      <c r="D630" s="3" t="inlineStr">
        <is>
          <t>Salary Hike</t>
        </is>
      </c>
      <c r="E630" s="2" t="inlineStr">
        <is>
          <t>Explanation</t>
        </is>
      </c>
      <c r="F630" s="2" t="inlineStr">
        <is>
          <t>Educational</t>
        </is>
      </c>
      <c r="G630" s="3" t="inlineStr">
        <is>
          <t>75 percent salary hike</t>
        </is>
      </c>
      <c r="H630" s="3" t="inlineStr">
        <is>
          <t>calculate 75 percent hike, 75 hike on ctc, revised salary after 75 hike</t>
        </is>
      </c>
      <c r="I630" s="3" t="inlineStr">
        <is>
          <t>Salary Hike Calculator</t>
        </is>
      </c>
      <c r="J630" s="3" t="inlineStr">
        <is>
          <t>/career/salary-hike</t>
        </is>
      </c>
      <c r="K630" s="3" t="inlineStr">
        <is>
          <t>Demonstrate exact mathematical calculation for a 75% salary hike across representative Indian packages (5 LPA, 10 LPA, 15 LPA, 25 LPA), comparing gross gains against actual net bank credit after income tax and PF deductions.</t>
        </is>
      </c>
      <c r="L630" s="2" t="inlineStr">
        <is>
          <t>YES</t>
        </is>
      </c>
      <c r="M630" s="2" t="inlineStr">
        <is>
          <t>MEDIUM</t>
        </is>
      </c>
      <c r="N630" s="2" t="inlineStr">
        <is>
          <t>READY</t>
        </is>
      </c>
      <c r="O630" s="3" t="inlineStr"/>
      <c r="P630" s="3" t="inlineStr"/>
      <c r="Q630" s="3" t="inlineStr"/>
      <c r="R630" s="3" t="inlineStr"/>
    </row>
    <row r="631" ht="20" customHeight="1">
      <c r="A631" s="4" t="inlineStr">
        <is>
          <t>ST630</t>
        </is>
      </c>
      <c r="B631" s="5" t="inlineStr">
        <is>
          <t>100% Salary Hike (2x Salary): Doubling Your CTC - Complete Tax &amp; Take-Home Analysis</t>
        </is>
      </c>
      <c r="C631" s="4" t="inlineStr">
        <is>
          <t>Career</t>
        </is>
      </c>
      <c r="D631" s="5" t="inlineStr">
        <is>
          <t>Salary Hike</t>
        </is>
      </c>
      <c r="E631" s="4" t="inlineStr">
        <is>
          <t>Explanation</t>
        </is>
      </c>
      <c r="F631" s="4" t="inlineStr">
        <is>
          <t>Educational</t>
        </is>
      </c>
      <c r="G631" s="5" t="inlineStr">
        <is>
          <t>100 percent salary hike</t>
        </is>
      </c>
      <c r="H631" s="5" t="inlineStr">
        <is>
          <t>calculate 100 percent hike, 100 hike on ctc, revised salary after 100 hike</t>
        </is>
      </c>
      <c r="I631" s="5" t="inlineStr">
        <is>
          <t>Salary Hike Calculator</t>
        </is>
      </c>
      <c r="J631" s="5" t="inlineStr">
        <is>
          <t>/career/salary-hike</t>
        </is>
      </c>
      <c r="K631" s="5" t="inlineStr">
        <is>
          <t>Demonstrate exact mathematical calculation for a 100% salary hike across representative Indian packages (5 LPA, 10 LPA, 15 LPA, 25 LPA), comparing gross gains against actual net bank credit after income tax and PF deductions.</t>
        </is>
      </c>
      <c r="L631" s="4" t="inlineStr">
        <is>
          <t>YES</t>
        </is>
      </c>
      <c r="M631" s="4" t="inlineStr">
        <is>
          <t>HIGH</t>
        </is>
      </c>
      <c r="N631" s="4" t="inlineStr">
        <is>
          <t>READY</t>
        </is>
      </c>
      <c r="O631" s="5" t="inlineStr"/>
      <c r="P631" s="5" t="inlineStr"/>
      <c r="Q631" s="5" t="inlineStr"/>
      <c r="R631" s="5" t="inlineStr"/>
    </row>
    <row r="632" ht="20" customHeight="1">
      <c r="A632" s="2" t="inlineStr">
        <is>
          <t>ST631</t>
        </is>
      </c>
      <c r="B632" s="3" t="inlineStr">
        <is>
          <t>7% Salary Hike: Typical Benchmark for Moderate Performance Appraisals</t>
        </is>
      </c>
      <c r="C632" s="2" t="inlineStr">
        <is>
          <t>Career</t>
        </is>
      </c>
      <c r="D632" s="3" t="inlineStr">
        <is>
          <t>Salary Hike</t>
        </is>
      </c>
      <c r="E632" s="2" t="inlineStr">
        <is>
          <t>Explanation</t>
        </is>
      </c>
      <c r="F632" s="2" t="inlineStr">
        <is>
          <t>Educational</t>
        </is>
      </c>
      <c r="G632" s="3" t="inlineStr">
        <is>
          <t>7 percent salary hike</t>
        </is>
      </c>
      <c r="H632" s="3" t="inlineStr">
        <is>
          <t>calculate 7 percent hike, 7 hike on ctc, revised salary after 7 hike</t>
        </is>
      </c>
      <c r="I632" s="3" t="inlineStr">
        <is>
          <t>Salary Hike Calculator</t>
        </is>
      </c>
      <c r="J632" s="3" t="inlineStr">
        <is>
          <t>/career/salary-hike</t>
        </is>
      </c>
      <c r="K632" s="3" t="inlineStr">
        <is>
          <t>Demonstrate exact mathematical calculation for a 7% salary hike across representative Indian packages (5 LPA, 10 LPA, 15 LPA, 25 LPA), comparing gross gains against actual net bank credit after income tax and PF deductions.</t>
        </is>
      </c>
      <c r="L632" s="2" t="inlineStr">
        <is>
          <t>YES</t>
        </is>
      </c>
      <c r="M632" s="2" t="inlineStr">
        <is>
          <t>MEDIUM</t>
        </is>
      </c>
      <c r="N632" s="2" t="inlineStr">
        <is>
          <t>READY</t>
        </is>
      </c>
      <c r="O632" s="3" t="inlineStr"/>
      <c r="P632" s="3" t="inlineStr"/>
      <c r="Q632" s="3" t="inlineStr"/>
      <c r="R632" s="3" t="inlineStr"/>
    </row>
    <row r="633" ht="20" customHeight="1">
      <c r="A633" s="4" t="inlineStr">
        <is>
          <t>ST632</t>
        </is>
      </c>
      <c r="B633" s="5" t="inlineStr">
        <is>
          <t>9% Salary Hike: Calculating Monthly Pay Increase on Common Packages</t>
        </is>
      </c>
      <c r="C633" s="4" t="inlineStr">
        <is>
          <t>Career</t>
        </is>
      </c>
      <c r="D633" s="5" t="inlineStr">
        <is>
          <t>Salary Hike</t>
        </is>
      </c>
      <c r="E633" s="4" t="inlineStr">
        <is>
          <t>Explanation</t>
        </is>
      </c>
      <c r="F633" s="4" t="inlineStr">
        <is>
          <t>Educational</t>
        </is>
      </c>
      <c r="G633" s="5" t="inlineStr">
        <is>
          <t>9 percent salary hike</t>
        </is>
      </c>
      <c r="H633" s="5" t="inlineStr">
        <is>
          <t>calculate 9 percent hike, 9 hike on ctc, revised salary after 9 hike</t>
        </is>
      </c>
      <c r="I633" s="5" t="inlineStr">
        <is>
          <t>Salary Hike Calculator</t>
        </is>
      </c>
      <c r="J633" s="5" t="inlineStr">
        <is>
          <t>/career/salary-hike</t>
        </is>
      </c>
      <c r="K633" s="5" t="inlineStr">
        <is>
          <t>Demonstrate exact mathematical calculation for a 9% salary hike across representative Indian packages (5 LPA, 10 LPA, 15 LPA, 25 LPA), comparing gross gains against actual net bank credit after income tax and PF deductions.</t>
        </is>
      </c>
      <c r="L633" s="4" t="inlineStr">
        <is>
          <t>YES</t>
        </is>
      </c>
      <c r="M633" s="4" t="inlineStr">
        <is>
          <t>MEDIUM</t>
        </is>
      </c>
      <c r="N633" s="4" t="inlineStr">
        <is>
          <t>READY</t>
        </is>
      </c>
      <c r="O633" s="5" t="inlineStr"/>
      <c r="P633" s="5" t="inlineStr"/>
      <c r="Q633" s="5" t="inlineStr"/>
      <c r="R633" s="5" t="inlineStr"/>
    </row>
    <row r="634" ht="20" customHeight="1">
      <c r="A634" s="2" t="inlineStr">
        <is>
          <t>ST633</t>
        </is>
      </c>
      <c r="B634" s="3" t="inlineStr">
        <is>
          <t>11% Salary Hike: Mid-Tier Merit Increment Calculation</t>
        </is>
      </c>
      <c r="C634" s="2" t="inlineStr">
        <is>
          <t>Career</t>
        </is>
      </c>
      <c r="D634" s="3" t="inlineStr">
        <is>
          <t>Salary Hike</t>
        </is>
      </c>
      <c r="E634" s="2" t="inlineStr">
        <is>
          <t>Explanation</t>
        </is>
      </c>
      <c r="F634" s="2" t="inlineStr">
        <is>
          <t>Educational</t>
        </is>
      </c>
      <c r="G634" s="3" t="inlineStr">
        <is>
          <t>11 percent salary hike</t>
        </is>
      </c>
      <c r="H634" s="3" t="inlineStr">
        <is>
          <t>calculate 11 percent hike, 11 hike on ctc, revised salary after 11 hike</t>
        </is>
      </c>
      <c r="I634" s="3" t="inlineStr">
        <is>
          <t>Salary Hike Calculator</t>
        </is>
      </c>
      <c r="J634" s="3" t="inlineStr">
        <is>
          <t>/career/salary-hike</t>
        </is>
      </c>
      <c r="K634" s="3" t="inlineStr">
        <is>
          <t>Demonstrate exact mathematical calculation for a 11% salary hike across representative Indian packages (5 LPA, 10 LPA, 15 LPA, 25 LPA), comparing gross gains against actual net bank credit after income tax and PF deductions.</t>
        </is>
      </c>
      <c r="L634" s="2" t="inlineStr">
        <is>
          <t>YES</t>
        </is>
      </c>
      <c r="M634" s="2" t="inlineStr">
        <is>
          <t>MEDIUM</t>
        </is>
      </c>
      <c r="N634" s="2" t="inlineStr">
        <is>
          <t>READY</t>
        </is>
      </c>
      <c r="O634" s="3" t="inlineStr"/>
      <c r="P634" s="3" t="inlineStr"/>
      <c r="Q634" s="3" t="inlineStr"/>
      <c r="R634" s="3" t="inlineStr"/>
    </row>
    <row r="635" ht="20" customHeight="1">
      <c r="A635" s="4" t="inlineStr">
        <is>
          <t>ST634</t>
        </is>
      </c>
      <c r="B635" s="5" t="inlineStr">
        <is>
          <t>14% Salary Hike: High-Performer Paycheck Adjustment Breakdown</t>
        </is>
      </c>
      <c r="C635" s="4" t="inlineStr">
        <is>
          <t>Career</t>
        </is>
      </c>
      <c r="D635" s="5" t="inlineStr">
        <is>
          <t>Salary Hike</t>
        </is>
      </c>
      <c r="E635" s="4" t="inlineStr">
        <is>
          <t>Explanation</t>
        </is>
      </c>
      <c r="F635" s="4" t="inlineStr">
        <is>
          <t>Educational</t>
        </is>
      </c>
      <c r="G635" s="5" t="inlineStr">
        <is>
          <t>14 percent salary hike</t>
        </is>
      </c>
      <c r="H635" s="5" t="inlineStr">
        <is>
          <t>calculate 14 percent hike, 14 hike on ctc, revised salary after 14 hike</t>
        </is>
      </c>
      <c r="I635" s="5" t="inlineStr">
        <is>
          <t>Salary Hike Calculator</t>
        </is>
      </c>
      <c r="J635" s="5" t="inlineStr">
        <is>
          <t>/career/salary-hike</t>
        </is>
      </c>
      <c r="K635" s="5" t="inlineStr">
        <is>
          <t>Demonstrate exact mathematical calculation for a 14% salary hike across representative Indian packages (5 LPA, 10 LPA, 15 LPA, 25 LPA), comparing gross gains against actual net bank credit after income tax and PF deductions.</t>
        </is>
      </c>
      <c r="L635" s="4" t="inlineStr">
        <is>
          <t>YES</t>
        </is>
      </c>
      <c r="M635" s="4" t="inlineStr">
        <is>
          <t>MEDIUM</t>
        </is>
      </c>
      <c r="N635" s="4" t="inlineStr">
        <is>
          <t>READY</t>
        </is>
      </c>
      <c r="O635" s="5" t="inlineStr"/>
      <c r="P635" s="5" t="inlineStr"/>
      <c r="Q635" s="5" t="inlineStr"/>
      <c r="R635" s="5" t="inlineStr"/>
    </row>
    <row r="636" ht="20" customHeight="1">
      <c r="A636" s="2" t="inlineStr">
        <is>
          <t>ST635</t>
        </is>
      </c>
      <c r="B636" s="3" t="inlineStr">
        <is>
          <t>16% Salary Hike: Senior Role Promotion Increment Calculation</t>
        </is>
      </c>
      <c r="C636" s="2" t="inlineStr">
        <is>
          <t>Career</t>
        </is>
      </c>
      <c r="D636" s="3" t="inlineStr">
        <is>
          <t>Salary Hike</t>
        </is>
      </c>
      <c r="E636" s="2" t="inlineStr">
        <is>
          <t>Explanation</t>
        </is>
      </c>
      <c r="F636" s="2" t="inlineStr">
        <is>
          <t>Educational</t>
        </is>
      </c>
      <c r="G636" s="3" t="inlineStr">
        <is>
          <t>16 percent salary hike</t>
        </is>
      </c>
      <c r="H636" s="3" t="inlineStr">
        <is>
          <t>calculate 16 percent hike, 16 hike on ctc, revised salary after 16 hike</t>
        </is>
      </c>
      <c r="I636" s="3" t="inlineStr">
        <is>
          <t>Salary Hike Calculator</t>
        </is>
      </c>
      <c r="J636" s="3" t="inlineStr">
        <is>
          <t>/career/salary-hike</t>
        </is>
      </c>
      <c r="K636" s="3" t="inlineStr">
        <is>
          <t>Demonstrate exact mathematical calculation for a 16% salary hike across representative Indian packages (5 LPA, 10 LPA, 15 LPA, 25 LPA), comparing gross gains against actual net bank credit after income tax and PF deductions.</t>
        </is>
      </c>
      <c r="L636" s="2" t="inlineStr">
        <is>
          <t>YES</t>
        </is>
      </c>
      <c r="M636" s="2" t="inlineStr">
        <is>
          <t>MEDIUM</t>
        </is>
      </c>
      <c r="N636" s="2" t="inlineStr">
        <is>
          <t>READY</t>
        </is>
      </c>
      <c r="O636" s="3" t="inlineStr"/>
      <c r="P636" s="3" t="inlineStr"/>
      <c r="Q636" s="3" t="inlineStr"/>
      <c r="R636" s="3" t="inlineStr"/>
    </row>
    <row r="637" ht="20" customHeight="1">
      <c r="A637" s="4" t="inlineStr">
        <is>
          <t>ST636</t>
        </is>
      </c>
      <c r="B637" s="5" t="inlineStr">
        <is>
          <t>22% Salary Hike: Executive Appraisal and Compensation Adjustment</t>
        </is>
      </c>
      <c r="C637" s="4" t="inlineStr">
        <is>
          <t>Career</t>
        </is>
      </c>
      <c r="D637" s="5" t="inlineStr">
        <is>
          <t>Salary Hike</t>
        </is>
      </c>
      <c r="E637" s="4" t="inlineStr">
        <is>
          <t>Explanation</t>
        </is>
      </c>
      <c r="F637" s="4" t="inlineStr">
        <is>
          <t>Educational</t>
        </is>
      </c>
      <c r="G637" s="5" t="inlineStr">
        <is>
          <t>22 percent salary hike</t>
        </is>
      </c>
      <c r="H637" s="5" t="inlineStr">
        <is>
          <t>calculate 22 percent hike, 22 hike on ctc, revised salary after 22 hike</t>
        </is>
      </c>
      <c r="I637" s="5" t="inlineStr">
        <is>
          <t>Salary Hike Calculator</t>
        </is>
      </c>
      <c r="J637" s="5" t="inlineStr">
        <is>
          <t>/career/salary-hike</t>
        </is>
      </c>
      <c r="K637" s="5" t="inlineStr">
        <is>
          <t>Demonstrate exact mathematical calculation for a 22% salary hike across representative Indian packages (5 LPA, 10 LPA, 15 LPA, 25 LPA), comparing gross gains against actual net bank credit after income tax and PF deductions.</t>
        </is>
      </c>
      <c r="L637" s="4" t="inlineStr">
        <is>
          <t>YES</t>
        </is>
      </c>
      <c r="M637" s="4" t="inlineStr">
        <is>
          <t>MEDIUM</t>
        </is>
      </c>
      <c r="N637" s="4" t="inlineStr">
        <is>
          <t>READY</t>
        </is>
      </c>
      <c r="O637" s="5" t="inlineStr"/>
      <c r="P637" s="5" t="inlineStr"/>
      <c r="Q637" s="5" t="inlineStr"/>
      <c r="R637" s="5" t="inlineStr"/>
    </row>
    <row r="638" ht="20" customHeight="1">
      <c r="A638" s="2" t="inlineStr">
        <is>
          <t>ST637</t>
        </is>
      </c>
      <c r="B638" s="3" t="inlineStr">
        <is>
          <t>28% Salary Hike: Evaluating High-Demand Technical Switch Offers</t>
        </is>
      </c>
      <c r="C638" s="2" t="inlineStr">
        <is>
          <t>Career</t>
        </is>
      </c>
      <c r="D638" s="3" t="inlineStr">
        <is>
          <t>Salary Hike</t>
        </is>
      </c>
      <c r="E638" s="2" t="inlineStr">
        <is>
          <t>Explanation</t>
        </is>
      </c>
      <c r="F638" s="2" t="inlineStr">
        <is>
          <t>Educational</t>
        </is>
      </c>
      <c r="G638" s="3" t="inlineStr">
        <is>
          <t>28 percent salary hike</t>
        </is>
      </c>
      <c r="H638" s="3" t="inlineStr">
        <is>
          <t>calculate 28 percent hike, 28 hike on ctc, revised salary after 28 hike</t>
        </is>
      </c>
      <c r="I638" s="3" t="inlineStr">
        <is>
          <t>Salary Hike Calculator</t>
        </is>
      </c>
      <c r="J638" s="3" t="inlineStr">
        <is>
          <t>/career/salary-hike</t>
        </is>
      </c>
      <c r="K638" s="3" t="inlineStr">
        <is>
          <t>Demonstrate exact mathematical calculation for a 28% salary hike across representative Indian packages (5 LPA, 10 LPA, 15 LPA, 25 LPA), comparing gross gains against actual net bank credit after income tax and PF deductions.</t>
        </is>
      </c>
      <c r="L638" s="2" t="inlineStr">
        <is>
          <t>YES</t>
        </is>
      </c>
      <c r="M638" s="2" t="inlineStr">
        <is>
          <t>MEDIUM</t>
        </is>
      </c>
      <c r="N638" s="2" t="inlineStr">
        <is>
          <t>READY</t>
        </is>
      </c>
      <c r="O638" s="3" t="inlineStr"/>
      <c r="P638" s="3" t="inlineStr"/>
      <c r="Q638" s="3" t="inlineStr"/>
      <c r="R638" s="3" t="inlineStr"/>
    </row>
    <row r="639" ht="20" customHeight="1">
      <c r="A639" s="4" t="inlineStr">
        <is>
          <t>ST638</t>
        </is>
      </c>
      <c r="B639" s="5" t="inlineStr">
        <is>
          <t>32% Salary Hike: Negotiating Counter-Offers During Resignation</t>
        </is>
      </c>
      <c r="C639" s="4" t="inlineStr">
        <is>
          <t>Career</t>
        </is>
      </c>
      <c r="D639" s="5" t="inlineStr">
        <is>
          <t>Salary Hike</t>
        </is>
      </c>
      <c r="E639" s="4" t="inlineStr">
        <is>
          <t>Explanation</t>
        </is>
      </c>
      <c r="F639" s="4" t="inlineStr">
        <is>
          <t>Educational</t>
        </is>
      </c>
      <c r="G639" s="5" t="inlineStr">
        <is>
          <t>32 percent salary hike</t>
        </is>
      </c>
      <c r="H639" s="5" t="inlineStr">
        <is>
          <t>calculate 32 percent hike, 32 hike on ctc, revised salary after 32 hike</t>
        </is>
      </c>
      <c r="I639" s="5" t="inlineStr">
        <is>
          <t>Salary Hike Calculator</t>
        </is>
      </c>
      <c r="J639" s="5" t="inlineStr">
        <is>
          <t>/career/salary-hike</t>
        </is>
      </c>
      <c r="K639" s="5" t="inlineStr">
        <is>
          <t>Demonstrate exact mathematical calculation for a 32% salary hike across representative Indian packages (5 LPA, 10 LPA, 15 LPA, 25 LPA), comparing gross gains against actual net bank credit after income tax and PF deductions.</t>
        </is>
      </c>
      <c r="L639" s="4" t="inlineStr">
        <is>
          <t>YES</t>
        </is>
      </c>
      <c r="M639" s="4" t="inlineStr">
        <is>
          <t>MEDIUM</t>
        </is>
      </c>
      <c r="N639" s="4" t="inlineStr">
        <is>
          <t>READY</t>
        </is>
      </c>
      <c r="O639" s="5" t="inlineStr"/>
      <c r="P639" s="5" t="inlineStr"/>
      <c r="Q639" s="5" t="inlineStr"/>
      <c r="R639" s="5" t="inlineStr"/>
    </row>
    <row r="640" ht="20" customHeight="1">
      <c r="A640" s="2" t="inlineStr">
        <is>
          <t>ST639</t>
        </is>
      </c>
      <c r="B640" s="3" t="inlineStr">
        <is>
          <t>45% Salary Hike: High-Growth Startup Offer Paycheck Calculation</t>
        </is>
      </c>
      <c r="C640" s="2" t="inlineStr">
        <is>
          <t>Career</t>
        </is>
      </c>
      <c r="D640" s="3" t="inlineStr">
        <is>
          <t>Salary Hike</t>
        </is>
      </c>
      <c r="E640" s="2" t="inlineStr">
        <is>
          <t>Explanation</t>
        </is>
      </c>
      <c r="F640" s="2" t="inlineStr">
        <is>
          <t>Educational</t>
        </is>
      </c>
      <c r="G640" s="3" t="inlineStr">
        <is>
          <t>45 percent salary hike</t>
        </is>
      </c>
      <c r="H640" s="3" t="inlineStr">
        <is>
          <t>calculate 45 percent hike, 45 hike on ctc, revised salary after 45 hike</t>
        </is>
      </c>
      <c r="I640" s="3" t="inlineStr">
        <is>
          <t>Salary Hike Calculator</t>
        </is>
      </c>
      <c r="J640" s="3" t="inlineStr">
        <is>
          <t>/career/salary-hike</t>
        </is>
      </c>
      <c r="K640" s="3" t="inlineStr">
        <is>
          <t>Demonstrate exact mathematical calculation for a 45% salary hike across representative Indian packages (5 LPA, 10 LPA, 15 LPA, 25 LPA), comparing gross gains against actual net bank credit after income tax and PF deductions.</t>
        </is>
      </c>
      <c r="L640" s="2" t="inlineStr">
        <is>
          <t>YES</t>
        </is>
      </c>
      <c r="M640" s="2" t="inlineStr">
        <is>
          <t>MEDIUM</t>
        </is>
      </c>
      <c r="N640" s="2" t="inlineStr">
        <is>
          <t>READY</t>
        </is>
      </c>
      <c r="O640" s="3" t="inlineStr"/>
      <c r="P640" s="3" t="inlineStr"/>
      <c r="Q640" s="3" t="inlineStr"/>
      <c r="R640" s="3" t="inlineStr"/>
    </row>
    <row r="641" ht="20" customHeight="1">
      <c r="A641" s="4" t="inlineStr">
        <is>
          <t>ST640</t>
        </is>
      </c>
      <c r="B641" s="5" t="inlineStr">
        <is>
          <t>80% Salary Hike: Major Career Transition and Seniority Jump Analysis</t>
        </is>
      </c>
      <c r="C641" s="4" t="inlineStr">
        <is>
          <t>Career</t>
        </is>
      </c>
      <c r="D641" s="5" t="inlineStr">
        <is>
          <t>Salary Hike</t>
        </is>
      </c>
      <c r="E641" s="4" t="inlineStr">
        <is>
          <t>Explanation</t>
        </is>
      </c>
      <c r="F641" s="4" t="inlineStr">
        <is>
          <t>Educational</t>
        </is>
      </c>
      <c r="G641" s="5" t="inlineStr">
        <is>
          <t>80 percent salary hike</t>
        </is>
      </c>
      <c r="H641" s="5" t="inlineStr">
        <is>
          <t>calculate 80 percent hike, 80 hike on ctc, revised salary after 80 hike</t>
        </is>
      </c>
      <c r="I641" s="5" t="inlineStr">
        <is>
          <t>Salary Hike Calculator</t>
        </is>
      </c>
      <c r="J641" s="5" t="inlineStr">
        <is>
          <t>/career/salary-hike</t>
        </is>
      </c>
      <c r="K641" s="5" t="inlineStr">
        <is>
          <t>Demonstrate exact mathematical calculation for a 80% salary hike across representative Indian packages (5 LPA, 10 LPA, 15 LPA, 25 LPA), comparing gross gains against actual net bank credit after income tax and PF deductions.</t>
        </is>
      </c>
      <c r="L641" s="4" t="inlineStr">
        <is>
          <t>YES</t>
        </is>
      </c>
      <c r="M641" s="4" t="inlineStr">
        <is>
          <t>MEDIUM</t>
        </is>
      </c>
      <c r="N641" s="4" t="inlineStr">
        <is>
          <t>READY</t>
        </is>
      </c>
      <c r="O641" s="5" t="inlineStr"/>
      <c r="P641" s="5" t="inlineStr"/>
      <c r="Q641" s="5" t="inlineStr"/>
      <c r="R641" s="5" t="inlineStr"/>
    </row>
    <row r="642" ht="20" customHeight="1">
      <c r="A642" s="2" t="inlineStr">
        <is>
          <t>ST641</t>
        </is>
      </c>
      <c r="B642" s="3" t="inlineStr">
        <is>
          <t>How to Calculate Your Exact Increment Amount Between Old and New Salary</t>
        </is>
      </c>
      <c r="C642" s="2" t="inlineStr">
        <is>
          <t>Career</t>
        </is>
      </c>
      <c r="D642" s="3" t="inlineStr">
        <is>
          <t>Increment</t>
        </is>
      </c>
      <c r="E642" s="2" t="inlineStr">
        <is>
          <t>Formula Guide</t>
        </is>
      </c>
      <c r="F642" s="2" t="inlineStr">
        <is>
          <t>How-To</t>
        </is>
      </c>
      <c r="G642" s="3" t="inlineStr">
        <is>
          <t>how to calculate increment amount</t>
        </is>
      </c>
      <c r="H642" s="3" t="inlineStr">
        <is>
          <t>increment calculation formula, absolute salary increase, old vs new salary difference</t>
        </is>
      </c>
      <c r="I642" s="3" t="inlineStr">
        <is>
          <t>Increment Calculator</t>
        </is>
      </c>
      <c r="J642" s="3" t="inlineStr">
        <is>
          <t>/career/increment-calculator</t>
        </is>
      </c>
      <c r="K642" s="3" t="inlineStr">
        <is>
          <t>Formula: Absolute Increment = New Salary - Old Salary. Percentage Hike = (Absolute Increment / Old Salary) * 100. Step-by-step examples across different salary bands.</t>
        </is>
      </c>
      <c r="L642" s="2" t="inlineStr">
        <is>
          <t>YES</t>
        </is>
      </c>
      <c r="M642" s="2" t="inlineStr">
        <is>
          <t>HIGH</t>
        </is>
      </c>
      <c r="N642" s="2" t="inlineStr">
        <is>
          <t>READY</t>
        </is>
      </c>
      <c r="O642" s="3" t="inlineStr"/>
      <c r="P642" s="3" t="inlineStr"/>
      <c r="Q642" s="3" t="inlineStr"/>
      <c r="R642" s="3" t="inlineStr"/>
    </row>
    <row r="643" ht="20" customHeight="1">
      <c r="A643" s="4" t="inlineStr">
        <is>
          <t>ST642</t>
        </is>
      </c>
      <c r="B643" s="5" t="inlineStr">
        <is>
          <t>How to Calculate Mid-Year Increment and Backdated Arrears</t>
        </is>
      </c>
      <c r="C643" s="4" t="inlineStr">
        <is>
          <t>Career</t>
        </is>
      </c>
      <c r="D643" s="5" t="inlineStr">
        <is>
          <t>Increment</t>
        </is>
      </c>
      <c r="E643" s="4" t="inlineStr">
        <is>
          <t>How-To</t>
        </is>
      </c>
      <c r="F643" s="4" t="inlineStr">
        <is>
          <t>How-To</t>
        </is>
      </c>
      <c r="G643" s="5" t="inlineStr">
        <is>
          <t>how to calculate salary arrears after increment</t>
        </is>
      </c>
      <c r="H643" s="5" t="inlineStr">
        <is>
          <t>backdated increment calculation formula, retrospective salary hike arrears, appraisal arrears in salary slip</t>
        </is>
      </c>
      <c r="I643" s="5" t="inlineStr">
        <is>
          <t>Increment Calculator</t>
        </is>
      </c>
      <c r="J643" s="5" t="inlineStr">
        <is>
          <t>/career/increment-calculator</t>
        </is>
      </c>
      <c r="K643" s="5" t="inlineStr">
        <is>
          <t>Calculate arrears: (Revised Monthly Gross - Old Monthly Gross) * Number of Effective Backdated Months. Explain how arrears are taxed in the payout month.</t>
        </is>
      </c>
      <c r="L643" s="4" t="inlineStr">
        <is>
          <t>YES</t>
        </is>
      </c>
      <c r="M643" s="4" t="inlineStr">
        <is>
          <t>HIGH</t>
        </is>
      </c>
      <c r="N643" s="4" t="inlineStr">
        <is>
          <t>READY</t>
        </is>
      </c>
      <c r="O643" s="5" t="inlineStr"/>
      <c r="P643" s="5" t="inlineStr"/>
      <c r="Q643" s="5" t="inlineStr"/>
      <c r="R643" s="5" t="inlineStr"/>
    </row>
    <row r="644" ht="20" customHeight="1">
      <c r="A644" s="2" t="inlineStr">
        <is>
          <t>ST643</t>
        </is>
      </c>
      <c r="B644" s="3" t="inlineStr">
        <is>
          <t>Real Salary Growth vs Inflation: Are You Actually Earning More After a 6% Increment?</t>
        </is>
      </c>
      <c r="C644" s="2" t="inlineStr">
        <is>
          <t>Career</t>
        </is>
      </c>
      <c r="D644" s="3" t="inlineStr">
        <is>
          <t>Increment</t>
        </is>
      </c>
      <c r="E644" s="2" t="inlineStr">
        <is>
          <t>Explanation</t>
        </is>
      </c>
      <c r="F644" s="2" t="inlineStr">
        <is>
          <t>Educational</t>
        </is>
      </c>
      <c r="G644" s="3" t="inlineStr">
        <is>
          <t>real salary growth vs inflation india</t>
        </is>
      </c>
      <c r="H644" s="3" t="inlineStr">
        <is>
          <t>does 6 percent hike beat inflation, cpi inflation vs salary hike, real wage growth calculation</t>
        </is>
      </c>
      <c r="I644" s="3" t="inlineStr">
        <is>
          <t>Increment Calculator</t>
        </is>
      </c>
      <c r="J644" s="3" t="inlineStr">
        <is>
          <t>/career/increment-calculator</t>
        </is>
      </c>
      <c r="K644" s="3" t="inlineStr">
        <is>
          <t>Explain real wage growth formula: Real Growth % = ((1 + Nominal Hike%) / (1 + Inflation Rate)) - 1. Show why a 6% increment during 5.5% inflation represents near-zero purchasing power gain.</t>
        </is>
      </c>
      <c r="L644" s="2" t="inlineStr">
        <is>
          <t>YES</t>
        </is>
      </c>
      <c r="M644" s="2" t="inlineStr">
        <is>
          <t>HIGH</t>
        </is>
      </c>
      <c r="N644" s="2" t="inlineStr">
        <is>
          <t>READY</t>
        </is>
      </c>
      <c r="O644" s="3" t="inlineStr"/>
      <c r="P644" s="3" t="inlineStr"/>
      <c r="Q644" s="3" t="inlineStr"/>
      <c r="R644" s="3" t="inlineStr"/>
    </row>
    <row r="645" ht="20" customHeight="1">
      <c r="A645" s="4" t="inlineStr">
        <is>
          <t>ST644</t>
        </is>
      </c>
      <c r="B645" s="5" t="inlineStr">
        <is>
          <t>How to Compare Two Competing Job Offers Using an Increment Calculator</t>
        </is>
      </c>
      <c r="C645" s="4" t="inlineStr">
        <is>
          <t>Career</t>
        </is>
      </c>
      <c r="D645" s="5" t="inlineStr">
        <is>
          <t>Increment</t>
        </is>
      </c>
      <c r="E645" s="4" t="inlineStr">
        <is>
          <t>Guide</t>
        </is>
      </c>
      <c r="F645" s="4" t="inlineStr">
        <is>
          <t>Comparison</t>
        </is>
      </c>
      <c r="G645" s="5" t="inlineStr">
        <is>
          <t>how to compare two job offers salary</t>
        </is>
      </c>
      <c r="H645" s="5" t="inlineStr">
        <is>
          <t>comparing job offers excel, evaluating competing ctc packages, job switch offer comparison</t>
        </is>
      </c>
      <c r="I645" s="5" t="inlineStr">
        <is>
          <t>Increment Calculator</t>
        </is>
      </c>
      <c r="J645" s="5" t="inlineStr">
        <is>
          <t>/career/increment-calculator</t>
        </is>
      </c>
      <c r="K645" s="5" t="inlineStr">
        <is>
          <t>Framework comparing base fixed pay, guaranteed vs contingent variables, ESOP liquidity, health insurance coverage, and commute costs.</t>
        </is>
      </c>
      <c r="L645" s="4" t="inlineStr">
        <is>
          <t>YES</t>
        </is>
      </c>
      <c r="M645" s="4" t="inlineStr">
        <is>
          <t>HIGH</t>
        </is>
      </c>
      <c r="N645" s="4" t="inlineStr">
        <is>
          <t>READY</t>
        </is>
      </c>
      <c r="O645" s="5" t="inlineStr"/>
      <c r="P645" s="5" t="inlineStr"/>
      <c r="Q645" s="5" t="inlineStr"/>
      <c r="R645" s="5" t="inlineStr"/>
    </row>
    <row r="646" ht="20" customHeight="1">
      <c r="A646" s="2" t="inlineStr">
        <is>
          <t>ST645</t>
        </is>
      </c>
      <c r="B646" s="3" t="inlineStr">
        <is>
          <t>Increment on Basic vs Increment on Total CTC: How HR Structures Pay Raises</t>
        </is>
      </c>
      <c r="C646" s="2" t="inlineStr">
        <is>
          <t>Career</t>
        </is>
      </c>
      <c r="D646" s="3" t="inlineStr">
        <is>
          <t>Increment</t>
        </is>
      </c>
      <c r="E646" s="2" t="inlineStr">
        <is>
          <t>Explanation</t>
        </is>
      </c>
      <c r="F646" s="2" t="inlineStr">
        <is>
          <t>Educational</t>
        </is>
      </c>
      <c r="G646" s="3" t="inlineStr">
        <is>
          <t>increment on basic vs ctc</t>
        </is>
      </c>
      <c r="H646" s="3" t="inlineStr">
        <is>
          <t>does hike apply to basic salary, salary component increment structure, how hr calculates raise</t>
        </is>
      </c>
      <c r="I646" s="3" t="inlineStr">
        <is>
          <t>Increment Calculator</t>
        </is>
      </c>
      <c r="J646" s="3" t="inlineStr">
        <is>
          <t>/career/increment-calculator</t>
        </is>
      </c>
      <c r="K646" s="3" t="inlineStr">
        <is>
          <t>Clarify corporate payroll structures: whether percentage increments scale all salary components proportionally or alter the Special Allowance ratio.</t>
        </is>
      </c>
      <c r="L646" s="2" t="inlineStr">
        <is>
          <t>YES</t>
        </is>
      </c>
      <c r="M646" s="2" t="inlineStr">
        <is>
          <t>HIGH</t>
        </is>
      </c>
      <c r="N646" s="2" t="inlineStr">
        <is>
          <t>READY</t>
        </is>
      </c>
      <c r="O646" s="3" t="inlineStr"/>
      <c r="P646" s="3" t="inlineStr"/>
      <c r="Q646" s="3" t="inlineStr"/>
      <c r="R646" s="3" t="inlineStr"/>
    </row>
    <row r="647" ht="20" customHeight="1">
      <c r="A647" s="4" t="inlineStr">
        <is>
          <t>ST646</t>
        </is>
      </c>
      <c r="B647" s="5" t="inlineStr">
        <is>
          <t>How to Calculate Annual Cumulative Salary Growth Over a 5-Year Career</t>
        </is>
      </c>
      <c r="C647" s="4" t="inlineStr">
        <is>
          <t>Career</t>
        </is>
      </c>
      <c r="D647" s="5" t="inlineStr">
        <is>
          <t>Increment</t>
        </is>
      </c>
      <c r="E647" s="4" t="inlineStr">
        <is>
          <t>Formula Guide</t>
        </is>
      </c>
      <c r="F647" s="4" t="inlineStr">
        <is>
          <t>How-To</t>
        </is>
      </c>
      <c r="G647" s="5" t="inlineStr">
        <is>
          <t>cumulative salary growth over 5 years</t>
        </is>
      </c>
      <c r="H647" s="5" t="inlineStr">
        <is>
          <t>cagr of salary, career salary progression formula, 5 year salary growth calculation</t>
        </is>
      </c>
      <c r="I647" s="5" t="inlineStr">
        <is>
          <t>Increment Calculator</t>
        </is>
      </c>
      <c r="J647" s="5" t="inlineStr">
        <is>
          <t>/career/increment-calculator</t>
        </is>
      </c>
      <c r="K647" s="5" t="inlineStr">
        <is>
          <t>Teach the Compound Annual Growth Rate (CAGR) formula for salary: CAGR = (Final Salary / Initial Salary)^(1/5) - 1. Benchmark career compensation trajectories.</t>
        </is>
      </c>
      <c r="L647" s="4" t="inlineStr">
        <is>
          <t>YES</t>
        </is>
      </c>
      <c r="M647" s="4" t="inlineStr">
        <is>
          <t>HIGH</t>
        </is>
      </c>
      <c r="N647" s="4" t="inlineStr">
        <is>
          <t>READY</t>
        </is>
      </c>
      <c r="O647" s="5" t="inlineStr"/>
      <c r="P647" s="5" t="inlineStr"/>
      <c r="Q647" s="5" t="inlineStr"/>
      <c r="R647" s="5" t="inlineStr"/>
    </row>
    <row r="648" ht="20" customHeight="1">
      <c r="A648" s="2" t="inlineStr">
        <is>
          <t>ST647</t>
        </is>
      </c>
      <c r="B648" s="3" t="inlineStr">
        <is>
          <t>What to Do If Your Annual Increment Is Zero: Career and Financial Next Steps</t>
        </is>
      </c>
      <c r="C648" s="2" t="inlineStr">
        <is>
          <t>Career</t>
        </is>
      </c>
      <c r="D648" s="3" t="inlineStr">
        <is>
          <t>Increment</t>
        </is>
      </c>
      <c r="E648" s="2" t="inlineStr">
        <is>
          <t>Guide</t>
        </is>
      </c>
      <c r="F648" s="2" t="inlineStr">
        <is>
          <t>Informational</t>
        </is>
      </c>
      <c r="G648" s="3" t="inlineStr">
        <is>
          <t>what to do if zero hike in appraisal</t>
        </is>
      </c>
      <c r="H648" s="3" t="inlineStr">
        <is>
          <t>handling zero appraisal, salary freeze what to do, when to switch job after no hike</t>
        </is>
      </c>
      <c r="I648" s="3" t="inlineStr">
        <is>
          <t>Increment Calculator</t>
        </is>
      </c>
      <c r="J648" s="3" t="inlineStr">
        <is>
          <t>/career/increment-calculator</t>
        </is>
      </c>
      <c r="K648" s="3" t="inlineStr">
        <is>
          <t>Strategic career playbook: requesting performance feedback, establishing a 6-month review milestone, updating skills, and entering the external job market.</t>
        </is>
      </c>
      <c r="L648" s="2" t="inlineStr">
        <is>
          <t>YES</t>
        </is>
      </c>
      <c r="M648" s="2" t="inlineStr">
        <is>
          <t>MEDIUM</t>
        </is>
      </c>
      <c r="N648" s="2" t="inlineStr">
        <is>
          <t>READY</t>
        </is>
      </c>
      <c r="O648" s="3" t="inlineStr"/>
      <c r="P648" s="3" t="inlineStr"/>
      <c r="Q648" s="3" t="inlineStr"/>
      <c r="R648" s="3" t="inlineStr"/>
    </row>
    <row r="649" ht="20" customHeight="1">
      <c r="A649" s="4" t="inlineStr">
        <is>
          <t>ST648</t>
        </is>
      </c>
      <c r="B649" s="5" t="inlineStr">
        <is>
          <t>How Off-Cycle Increments and Retention Raises Work in Indian Companies</t>
        </is>
      </c>
      <c r="C649" s="4" t="inlineStr">
        <is>
          <t>Career</t>
        </is>
      </c>
      <c r="D649" s="5" t="inlineStr">
        <is>
          <t>Increment</t>
        </is>
      </c>
      <c r="E649" s="4" t="inlineStr">
        <is>
          <t>Guide</t>
        </is>
      </c>
      <c r="F649" s="4" t="inlineStr">
        <is>
          <t>Informational</t>
        </is>
      </c>
      <c r="G649" s="5" t="inlineStr">
        <is>
          <t>off cycle salary increment rules</t>
        </is>
      </c>
      <c r="H649" s="5" t="inlineStr">
        <is>
          <t>retention raise after resignation, out of turn promotion salary, counter offer increment</t>
        </is>
      </c>
      <c r="I649" s="5" t="inlineStr">
        <is>
          <t>Increment Calculator</t>
        </is>
      </c>
      <c r="J649" s="5" t="inlineStr">
        <is>
          <t>/career/increment-calculator</t>
        </is>
      </c>
      <c r="K649" s="5" t="inlineStr">
        <is>
          <t>Explain how managers secure out-of-budget compensation adjustments to retain critical technical talent during high-attrition quarters.</t>
        </is>
      </c>
      <c r="L649" s="4" t="inlineStr">
        <is>
          <t>YES</t>
        </is>
      </c>
      <c r="M649" s="4" t="inlineStr">
        <is>
          <t>MEDIUM</t>
        </is>
      </c>
      <c r="N649" s="4" t="inlineStr">
        <is>
          <t>READY</t>
        </is>
      </c>
      <c r="O649" s="5" t="inlineStr"/>
      <c r="P649" s="5" t="inlineStr"/>
      <c r="Q649" s="5" t="inlineStr"/>
      <c r="R649" s="5" t="inlineStr"/>
    </row>
    <row r="650" ht="20" customHeight="1">
      <c r="A650" s="2" t="inlineStr">
        <is>
          <t>ST649</t>
        </is>
      </c>
      <c r="B650" s="3" t="inlineStr">
        <is>
          <t>Comparing Annual Increment Across Public Sector (PSU / Bank) vs Private Sector</t>
        </is>
      </c>
      <c r="C650" s="2" t="inlineStr">
        <is>
          <t>Career</t>
        </is>
      </c>
      <c r="D650" s="3" t="inlineStr">
        <is>
          <t>Increment</t>
        </is>
      </c>
      <c r="E650" s="2" t="inlineStr">
        <is>
          <t>Comparison</t>
        </is>
      </c>
      <c r="F650" s="2" t="inlineStr">
        <is>
          <t>Comparison</t>
        </is>
      </c>
      <c r="G650" s="3" t="inlineStr">
        <is>
          <t>psu vs private salary increment</t>
        </is>
      </c>
      <c r="H650" s="3" t="inlineStr">
        <is>
          <t>bank po increment vs it company hike, da merger pay revision, 7th pay commission annual increment</t>
        </is>
      </c>
      <c r="I650" s="3" t="inlineStr">
        <is>
          <t>Increment Calculator</t>
        </is>
      </c>
      <c r="J650" s="3" t="inlineStr">
        <is>
          <t>/career/increment-calculator</t>
        </is>
      </c>
      <c r="K650" s="3" t="inlineStr">
        <is>
          <t>Contrast fixed 3% annual grade increments + DA dearness allowance revisions in government/PSUs with variable, performance-driven private corporate increments.</t>
        </is>
      </c>
      <c r="L650" s="2" t="inlineStr">
        <is>
          <t>YES</t>
        </is>
      </c>
      <c r="M650" s="2" t="inlineStr">
        <is>
          <t>HIGH</t>
        </is>
      </c>
      <c r="N650" s="2" t="inlineStr">
        <is>
          <t>READY</t>
        </is>
      </c>
      <c r="O650" s="3" t="inlineStr"/>
      <c r="P650" s="3" t="inlineStr"/>
      <c r="Q650" s="3" t="inlineStr"/>
      <c r="R650" s="3" t="inlineStr"/>
    </row>
    <row r="651" ht="20" customHeight="1">
      <c r="A651" s="4" t="inlineStr">
        <is>
          <t>ST650</t>
        </is>
      </c>
      <c r="B651" s="5" t="inlineStr">
        <is>
          <t>How to Calculate Percentage Hike When Moving from Contract (C2H) to Full-Time</t>
        </is>
      </c>
      <c r="C651" s="4" t="inlineStr">
        <is>
          <t>Career</t>
        </is>
      </c>
      <c r="D651" s="5" t="inlineStr">
        <is>
          <t>Increment</t>
        </is>
      </c>
      <c r="E651" s="4" t="inlineStr">
        <is>
          <t>Guide</t>
        </is>
      </c>
      <c r="F651" s="4" t="inlineStr">
        <is>
          <t>How-To</t>
        </is>
      </c>
      <c r="G651" s="5" t="inlineStr">
        <is>
          <t>contract to full time salary conversion</t>
        </is>
      </c>
      <c r="H651" s="5" t="inlineStr">
        <is>
          <t>c2h to permanent salary hike, converting contractor rate to permanent ctc, contract vs full time pay</t>
        </is>
      </c>
      <c r="I651" s="5" t="inlineStr">
        <is>
          <t>Increment Calculator</t>
        </is>
      </c>
      <c r="J651" s="5" t="inlineStr">
        <is>
          <t>/career/increment-calculator</t>
        </is>
      </c>
      <c r="K651" s="5" t="inlineStr">
        <is>
          <t>Explain the shift from gross contractual billing (no PF, no medical, no paid leaves) to permanent corporate CTC and computing fair compensation parity.</t>
        </is>
      </c>
      <c r="L651" s="4" t="inlineStr">
        <is>
          <t>YES</t>
        </is>
      </c>
      <c r="M651" s="4" t="inlineStr">
        <is>
          <t>HIGH</t>
        </is>
      </c>
      <c r="N651" s="4" t="inlineStr">
        <is>
          <t>READY</t>
        </is>
      </c>
      <c r="O651" s="5" t="inlineStr"/>
      <c r="P651" s="5" t="inlineStr"/>
      <c r="Q651" s="5" t="inlineStr"/>
      <c r="R651" s="5" t="inlineStr"/>
    </row>
    <row r="652" ht="20" customHeight="1">
      <c r="A652" s="2" t="inlineStr">
        <is>
          <t>ST651</t>
        </is>
      </c>
      <c r="B652" s="3" t="inlineStr">
        <is>
          <t>How to Calculate Pay Raise Needed to Offset Loss of Work-From-Home (WFH)</t>
        </is>
      </c>
      <c r="C652" s="2" t="inlineStr">
        <is>
          <t>Career</t>
        </is>
      </c>
      <c r="D652" s="3" t="inlineStr">
        <is>
          <t>Increment</t>
        </is>
      </c>
      <c r="E652" s="2" t="inlineStr">
        <is>
          <t>Planning Guide</t>
        </is>
      </c>
      <c r="F652" s="2" t="inlineStr">
        <is>
          <t>Planning</t>
        </is>
      </c>
      <c r="G652" s="3" t="inlineStr">
        <is>
          <t>salary hike needed for return to office</t>
        </is>
      </c>
      <c r="H652" s="3" t="inlineStr">
        <is>
          <t>cost of return to office calculation, commuting costs salary offset, wfh vs wfo salary</t>
        </is>
      </c>
      <c r="I652" s="3" t="inlineStr">
        <is>
          <t>Increment Calculator</t>
        </is>
      </c>
      <c r="J652" s="3" t="inlineStr">
        <is>
          <t>/career/increment-calculator</t>
        </is>
      </c>
      <c r="K652" s="3" t="inlineStr">
        <is>
          <t>Calculate tangible monthly costs of returning to office: fuel/cabs, rent relocation, daily food, professional attire, and deriving required compensatory hike.</t>
        </is>
      </c>
      <c r="L652" s="2" t="inlineStr">
        <is>
          <t>YES</t>
        </is>
      </c>
      <c r="M652" s="2" t="inlineStr">
        <is>
          <t>HIGH</t>
        </is>
      </c>
      <c r="N652" s="2" t="inlineStr">
        <is>
          <t>READY</t>
        </is>
      </c>
      <c r="O652" s="3" t="inlineStr"/>
      <c r="P652" s="3" t="inlineStr"/>
      <c r="Q652" s="3" t="inlineStr"/>
      <c r="R652" s="3" t="inlineStr"/>
    </row>
    <row r="653" ht="20" customHeight="1">
      <c r="A653" s="4" t="inlineStr">
        <is>
          <t>ST652</t>
        </is>
      </c>
      <c r="B653" s="5" t="inlineStr">
        <is>
          <t>How to Calculate Percentage Hike from a Dual Offer: Base Increment + Sign-On</t>
        </is>
      </c>
      <c r="C653" s="4" t="inlineStr">
        <is>
          <t>Career</t>
        </is>
      </c>
      <c r="D653" s="5" t="inlineStr">
        <is>
          <t>Increment</t>
        </is>
      </c>
      <c r="E653" s="4" t="inlineStr">
        <is>
          <t>How-To</t>
        </is>
      </c>
      <c r="F653" s="4" t="inlineStr">
        <is>
          <t>How-To</t>
        </is>
      </c>
      <c r="G653" s="5" t="inlineStr">
        <is>
          <t>calculating total percentage hike with sign on bonus</t>
        </is>
      </c>
      <c r="H653" s="5" t="inlineStr">
        <is>
          <t>first year ctc hike with bonus, annualizing joining bonus, total compensation increment</t>
        </is>
      </c>
      <c r="I653" s="5" t="inlineStr">
        <is>
          <t>Increment Calculator</t>
        </is>
      </c>
      <c r="J653" s="5" t="inlineStr">
        <is>
          <t>/career/increment-calculator</t>
        </is>
      </c>
      <c r="K653" s="5" t="inlineStr">
        <is>
          <t>Show how to calculate year-1 percentage growth vs sustained year-2 baseline growth when sign-on bonuses drop off.</t>
        </is>
      </c>
      <c r="L653" s="4" t="inlineStr">
        <is>
          <t>YES</t>
        </is>
      </c>
      <c r="M653" s="4" t="inlineStr">
        <is>
          <t>HIGH</t>
        </is>
      </c>
      <c r="N653" s="4" t="inlineStr">
        <is>
          <t>READY</t>
        </is>
      </c>
      <c r="O653" s="5" t="inlineStr"/>
      <c r="P653" s="5" t="inlineStr"/>
      <c r="Q653" s="5" t="inlineStr"/>
      <c r="R653" s="5" t="inlineStr"/>
    </row>
    <row r="654" ht="20" customHeight="1">
      <c r="A654" s="2" t="inlineStr">
        <is>
          <t>ST653</t>
        </is>
      </c>
      <c r="B654" s="3" t="inlineStr">
        <is>
          <t>How Lateral Hiring Salary Bands Constrain Your Maximum Possible Increment</t>
        </is>
      </c>
      <c r="C654" s="2" t="inlineStr">
        <is>
          <t>Career</t>
        </is>
      </c>
      <c r="D654" s="3" t="inlineStr">
        <is>
          <t>Increment</t>
        </is>
      </c>
      <c r="E654" s="2" t="inlineStr">
        <is>
          <t>Explanation</t>
        </is>
      </c>
      <c r="F654" s="2" t="inlineStr">
        <is>
          <t>Educational</t>
        </is>
      </c>
      <c r="G654" s="3" t="inlineStr">
        <is>
          <t>salary bands and compensation ranges in corporate</t>
        </is>
      </c>
      <c r="H654" s="3" t="inlineStr">
        <is>
          <t>internal salary parity, maximum hike limit in company, salary band midpoint</t>
        </is>
      </c>
      <c r="I654" s="3" t="inlineStr">
        <is>
          <t>Increment Calculator</t>
        </is>
      </c>
      <c r="J654" s="3" t="inlineStr">
        <is>
          <t>/career/increment-calculator</t>
        </is>
      </c>
      <c r="K654" s="3" t="inlineStr">
        <is>
          <t>Explain compensation benchmarking: salary bands (Min, Mid, Max) and why HR caps increments to preserve internal equity among peers in the same job code.</t>
        </is>
      </c>
      <c r="L654" s="2" t="inlineStr">
        <is>
          <t>YES</t>
        </is>
      </c>
      <c r="M654" s="2" t="inlineStr">
        <is>
          <t>MEDIUM</t>
        </is>
      </c>
      <c r="N654" s="2" t="inlineStr">
        <is>
          <t>READY</t>
        </is>
      </c>
      <c r="O654" s="3" t="inlineStr"/>
      <c r="P654" s="3" t="inlineStr"/>
      <c r="Q654" s="3" t="inlineStr"/>
      <c r="R654" s="3" t="inlineStr"/>
    </row>
    <row r="655" ht="20" customHeight="1">
      <c r="A655" s="4" t="inlineStr">
        <is>
          <t>ST654</t>
        </is>
      </c>
      <c r="B655" s="5" t="inlineStr">
        <is>
          <t>Calculating Career Progression: Benchmarking 3-Year, 5-Year, and 10-Year Increments</t>
        </is>
      </c>
      <c r="C655" s="4" t="inlineStr">
        <is>
          <t>Career</t>
        </is>
      </c>
      <c r="D655" s="5" t="inlineStr">
        <is>
          <t>Increment</t>
        </is>
      </c>
      <c r="E655" s="4" t="inlineStr">
        <is>
          <t>Guide</t>
        </is>
      </c>
      <c r="F655" s="4" t="inlineStr">
        <is>
          <t>Reference</t>
        </is>
      </c>
      <c r="G655" s="5" t="inlineStr">
        <is>
          <t>salary benchmark after 5 years experience in it</t>
        </is>
      </c>
      <c r="H655" s="5" t="inlineStr">
        <is>
          <t>average salary after 3 years, 10 years experience ctc benchmark, career growth percentage</t>
        </is>
      </c>
      <c r="I655" s="5" t="inlineStr">
        <is>
          <t>Increment Calculator</t>
        </is>
      </c>
      <c r="J655" s="5" t="inlineStr">
        <is>
          <t>/career/increment-calculator</t>
        </is>
      </c>
      <c r="K655" s="5" t="inlineStr">
        <is>
          <t>Industry benchmarks for Indian software engineers: 0-3 years (Fresher to SDE-1), 3-6 years (SDE-2), 6-10 years (Senior/Lead), and typical salary multiples.</t>
        </is>
      </c>
      <c r="L655" s="4" t="inlineStr">
        <is>
          <t>YES</t>
        </is>
      </c>
      <c r="M655" s="4" t="inlineStr">
        <is>
          <t>HIGH</t>
        </is>
      </c>
      <c r="N655" s="4" t="inlineStr">
        <is>
          <t>READY</t>
        </is>
      </c>
      <c r="O655" s="5" t="inlineStr"/>
      <c r="P655" s="5" t="inlineStr"/>
      <c r="Q655" s="5" t="inlineStr"/>
      <c r="R655" s="5" t="inlineStr"/>
    </row>
    <row r="656" ht="20" customHeight="1">
      <c r="A656" s="2" t="inlineStr">
        <is>
          <t>ST655</t>
        </is>
      </c>
      <c r="B656" s="3" t="inlineStr">
        <is>
          <t>How to Calculate Value of Benefits When Evaluating a Lower Base Salary Offer</t>
        </is>
      </c>
      <c r="C656" s="2" t="inlineStr">
        <is>
          <t>Career</t>
        </is>
      </c>
      <c r="D656" s="3" t="inlineStr">
        <is>
          <t>Increment</t>
        </is>
      </c>
      <c r="E656" s="2" t="inlineStr">
        <is>
          <t>How-To</t>
        </is>
      </c>
      <c r="F656" s="2" t="inlineStr">
        <is>
          <t>How-To</t>
        </is>
      </c>
      <c r="G656" s="3" t="inlineStr">
        <is>
          <t>evaluating non cash benefits in salary offer</t>
        </is>
      </c>
      <c r="H656" s="3" t="inlineStr">
        <is>
          <t>company car health cover gratuity value, total rewards calculation, benefits vs cash salary</t>
        </is>
      </c>
      <c r="I656" s="3" t="inlineStr">
        <is>
          <t>Increment Calculator</t>
        </is>
      </c>
      <c r="J656" s="3" t="inlineStr">
        <is>
          <t>/career/increment-calculator</t>
        </is>
      </c>
      <c r="K656" s="3" t="inlineStr">
        <is>
          <t>Monetize perks: premium health insurance (Rs 30k value), gym/wellness allowances, education sponsorships, and day care facilities.</t>
        </is>
      </c>
      <c r="L656" s="2" t="inlineStr">
        <is>
          <t>YES</t>
        </is>
      </c>
      <c r="M656" s="2" t="inlineStr">
        <is>
          <t>MEDIUM</t>
        </is>
      </c>
      <c r="N656" s="2" t="inlineStr">
        <is>
          <t>READY</t>
        </is>
      </c>
      <c r="O656" s="3" t="inlineStr"/>
      <c r="P656" s="3" t="inlineStr"/>
      <c r="Q656" s="3" t="inlineStr"/>
      <c r="R656" s="3" t="inlineStr"/>
    </row>
    <row r="657" ht="20" customHeight="1">
      <c r="A657" s="4" t="inlineStr">
        <is>
          <t>ST656</t>
        </is>
      </c>
      <c r="B657" s="5" t="inlineStr">
        <is>
          <t>How Annual Merit Increments Are Distributed Using Forced Bell Curve Ranking</t>
        </is>
      </c>
      <c r="C657" s="4" t="inlineStr">
        <is>
          <t>Career</t>
        </is>
      </c>
      <c r="D657" s="5" t="inlineStr">
        <is>
          <t>Increment</t>
        </is>
      </c>
      <c r="E657" s="4" t="inlineStr">
        <is>
          <t>Explanation</t>
        </is>
      </c>
      <c r="F657" s="4" t="inlineStr">
        <is>
          <t>Informational</t>
        </is>
      </c>
      <c r="G657" s="5" t="inlineStr">
        <is>
          <t>bell curve appraisal forced distribution</t>
        </is>
      </c>
      <c r="H657" s="5" t="inlineStr">
        <is>
          <t>performance ratings 1 to 5 hike percentage, stack ranking increment distribution, bell curve corporate rating</t>
        </is>
      </c>
      <c r="I657" s="5" t="inlineStr">
        <is>
          <t>Increment Calculator</t>
        </is>
      </c>
      <c r="J657" s="5" t="inlineStr">
        <is>
          <t>/career/increment-calculator</t>
        </is>
      </c>
      <c r="K657" s="5" t="inlineStr">
        <is>
          <t>Explain how HR enforces quotas (Top 10% get 15-20%, Middle 70% get 6-10%, Bottom 20% get 0-4%) regardless of team-wide achievement.</t>
        </is>
      </c>
      <c r="L657" s="4" t="inlineStr">
        <is>
          <t>YES</t>
        </is>
      </c>
      <c r="M657" s="4" t="inlineStr">
        <is>
          <t>HIGH</t>
        </is>
      </c>
      <c r="N657" s="4" t="inlineStr">
        <is>
          <t>READY</t>
        </is>
      </c>
      <c r="O657" s="5" t="inlineStr"/>
      <c r="P657" s="5" t="inlineStr"/>
      <c r="Q657" s="5" t="inlineStr"/>
      <c r="R657" s="5" t="inlineStr"/>
    </row>
    <row r="658" ht="20" customHeight="1">
      <c r="A658" s="2" t="inlineStr">
        <is>
          <t>ST657</t>
        </is>
      </c>
      <c r="B658" s="3" t="inlineStr">
        <is>
          <t>Calculating the Financial Impact of Delaying Your Appraisal by 3 Months</t>
        </is>
      </c>
      <c r="C658" s="2" t="inlineStr">
        <is>
          <t>Career</t>
        </is>
      </c>
      <c r="D658" s="3" t="inlineStr">
        <is>
          <t>Increment</t>
        </is>
      </c>
      <c r="E658" s="2" t="inlineStr">
        <is>
          <t>How-To</t>
        </is>
      </c>
      <c r="F658" s="2" t="inlineStr">
        <is>
          <t>Planning</t>
        </is>
      </c>
      <c r="G658" s="3" t="inlineStr">
        <is>
          <t>financial loss from delayed appraisal</t>
        </is>
      </c>
      <c r="H658" s="3" t="inlineStr">
        <is>
          <t>delayed increment calculation, cost of postponed salary hike, backdated appraisal loss</t>
        </is>
      </c>
      <c r="I658" s="3" t="inlineStr">
        <is>
          <t>Increment Calculator</t>
        </is>
      </c>
      <c r="J658" s="3" t="inlineStr">
        <is>
          <t>/career/increment-calculator</t>
        </is>
      </c>
      <c r="K658" s="3" t="inlineStr">
        <is>
          <t>Formula: Loss = Expected Monthly Increment * Months Delayed. Show why lack of backdated arrears costs employees tens of thousands of rupees permanently.</t>
        </is>
      </c>
      <c r="L658" s="2" t="inlineStr">
        <is>
          <t>YES</t>
        </is>
      </c>
      <c r="M658" s="2" t="inlineStr">
        <is>
          <t>HIGH</t>
        </is>
      </c>
      <c r="N658" s="2" t="inlineStr">
        <is>
          <t>READY</t>
        </is>
      </c>
      <c r="O658" s="3" t="inlineStr"/>
      <c r="P658" s="3" t="inlineStr"/>
      <c r="Q658" s="3" t="inlineStr"/>
      <c r="R658" s="3" t="inlineStr"/>
    </row>
    <row r="659" ht="20" customHeight="1">
      <c r="A659" s="4" t="inlineStr">
        <is>
          <t>ST658</t>
        </is>
      </c>
      <c r="B659" s="5" t="inlineStr">
        <is>
          <t>How Increment Percentages Vary Across Metropolitan Cities in India</t>
        </is>
      </c>
      <c r="C659" s="4" t="inlineStr">
        <is>
          <t>Career</t>
        </is>
      </c>
      <c r="D659" s="5" t="inlineStr">
        <is>
          <t>Increment</t>
        </is>
      </c>
      <c r="E659" s="4" t="inlineStr">
        <is>
          <t>Explanation</t>
        </is>
      </c>
      <c r="F659" s="4" t="inlineStr">
        <is>
          <t>Reference</t>
        </is>
      </c>
      <c r="G659" s="5" t="inlineStr">
        <is>
          <t>salary increment by city india</t>
        </is>
      </c>
      <c r="H659" s="5" t="inlineStr">
        <is>
          <t>bangalore vs hyderabad salary growth, pune chennai delhi ncr increment trends, city tier salary gaps</t>
        </is>
      </c>
      <c r="I659" s="5" t="inlineStr">
        <is>
          <t>Increment Calculator</t>
        </is>
      </c>
      <c r="J659" s="5" t="inlineStr">
        <is>
          <t>/career/increment-calculator</t>
        </is>
      </c>
      <c r="K659" s="5" t="inlineStr">
        <is>
          <t>Analyze survey data on salary increments across tech hubs (Bengaluru, Hyderabad, NCR, Pune, Chennai, Mumbai) and regional talent demand.</t>
        </is>
      </c>
      <c r="L659" s="4" t="inlineStr">
        <is>
          <t>YES</t>
        </is>
      </c>
      <c r="M659" s="4" t="inlineStr">
        <is>
          <t>LOW</t>
        </is>
      </c>
      <c r="N659" s="4" t="inlineStr">
        <is>
          <t>READY</t>
        </is>
      </c>
      <c r="O659" s="5" t="inlineStr"/>
      <c r="P659" s="5" t="inlineStr"/>
      <c r="Q659" s="5" t="inlineStr"/>
      <c r="R659" s="5" t="inlineStr"/>
    </row>
    <row r="660" ht="20" customHeight="1">
      <c r="A660" s="2" t="inlineStr">
        <is>
          <t>ST659</t>
        </is>
      </c>
      <c r="B660" s="3" t="inlineStr">
        <is>
          <t>Calculating the Net Benefit of an Overseas Onsite Assignment Allowance</t>
        </is>
      </c>
      <c r="C660" s="2" t="inlineStr">
        <is>
          <t>Career</t>
        </is>
      </c>
      <c r="D660" s="3" t="inlineStr">
        <is>
          <t>Increment</t>
        </is>
      </c>
      <c r="E660" s="2" t="inlineStr">
        <is>
          <t>How-To</t>
        </is>
      </c>
      <c r="F660" s="2" t="inlineStr">
        <is>
          <t>How-To</t>
        </is>
      </c>
      <c r="G660" s="3" t="inlineStr">
        <is>
          <t>onsite per diem and salary calculation</t>
        </is>
      </c>
      <c r="H660" s="3" t="inlineStr">
        <is>
          <t>onsite allowance calculation us uk, foreign per diem savings, onsite vs offshore compensation</t>
        </is>
      </c>
      <c r="I660" s="3" t="inlineStr">
        <is>
          <t>Increment Calculator</t>
        </is>
      </c>
      <c r="J660" s="3" t="inlineStr">
        <is>
          <t>/career/increment-calculator</t>
        </is>
      </c>
      <c r="K660" s="3" t="inlineStr">
        <is>
          <t>Calculate total financial accumulation: Indian base retention + foreign per diem allowance minus living costs in USD/GBP/EUR.</t>
        </is>
      </c>
      <c r="L660" s="2" t="inlineStr">
        <is>
          <t>YES</t>
        </is>
      </c>
      <c r="M660" s="2" t="inlineStr">
        <is>
          <t>HIGH</t>
        </is>
      </c>
      <c r="N660" s="2" t="inlineStr">
        <is>
          <t>READY</t>
        </is>
      </c>
      <c r="O660" s="3" t="inlineStr"/>
      <c r="P660" s="3" t="inlineStr"/>
      <c r="Q660" s="3" t="inlineStr"/>
      <c r="R660" s="3" t="inlineStr"/>
    </row>
    <row r="661" ht="20" customHeight="1">
      <c r="A661" s="4" t="inlineStr">
        <is>
          <t>ST660</t>
        </is>
      </c>
      <c r="B661" s="5" t="inlineStr">
        <is>
          <t>How to Calculate Your Hourly Pay Increase from an Annual Salary Increment</t>
        </is>
      </c>
      <c r="C661" s="4" t="inlineStr">
        <is>
          <t>Career</t>
        </is>
      </c>
      <c r="D661" s="5" t="inlineStr">
        <is>
          <t>Increment</t>
        </is>
      </c>
      <c r="E661" s="4" t="inlineStr">
        <is>
          <t>Formula Guide</t>
        </is>
      </c>
      <c r="F661" s="4" t="inlineStr">
        <is>
          <t>How-To</t>
        </is>
      </c>
      <c r="G661" s="5" t="inlineStr">
        <is>
          <t>hourly pay increase calculation formula</t>
        </is>
      </c>
      <c r="H661" s="5" t="inlineStr">
        <is>
          <t>hourly raise from salary hike, per hour salary increase, freelance rate adjustment after hike</t>
        </is>
      </c>
      <c r="I661" s="5" t="inlineStr">
        <is>
          <t>Increment Calculator</t>
        </is>
      </c>
      <c r="J661" s="5" t="inlineStr">
        <is>
          <t>/career/increment-calculator</t>
        </is>
      </c>
      <c r="K661" s="5" t="inlineStr">
        <is>
          <t>Formula: Hourly Raise = Annual Increment Amount / 2080 Annual Working Hours. Translate annual figures into tangible hourly earning power.</t>
        </is>
      </c>
      <c r="L661" s="4" t="inlineStr">
        <is>
          <t>YES</t>
        </is>
      </c>
      <c r="M661" s="4" t="inlineStr">
        <is>
          <t>MEDIUM</t>
        </is>
      </c>
      <c r="N661" s="4" t="inlineStr">
        <is>
          <t>READY</t>
        </is>
      </c>
      <c r="O661" s="5" t="inlineStr"/>
      <c r="P661" s="5" t="inlineStr"/>
      <c r="Q661" s="5" t="inlineStr"/>
      <c r="R661" s="5" t="inlineStr"/>
    </row>
    <row r="662" ht="20" customHeight="1">
      <c r="A662" s="2" t="inlineStr">
        <is>
          <t>ST661</t>
        </is>
      </c>
      <c r="B662" s="3" t="inlineStr">
        <is>
          <t>Why Taking a Title Promotion Without a Salary Increment Hurts Long-Term Earnings</t>
        </is>
      </c>
      <c r="C662" s="2" t="inlineStr">
        <is>
          <t>Career</t>
        </is>
      </c>
      <c r="D662" s="3" t="inlineStr">
        <is>
          <t>Increment</t>
        </is>
      </c>
      <c r="E662" s="2" t="inlineStr">
        <is>
          <t>Explanation</t>
        </is>
      </c>
      <c r="F662" s="2" t="inlineStr">
        <is>
          <t>Informational</t>
        </is>
      </c>
      <c r="G662" s="3" t="inlineStr">
        <is>
          <t>title promotion without salary hike</t>
        </is>
      </c>
      <c r="H662" s="3" t="inlineStr">
        <is>
          <t>dry promotion corporate, accepting promotion without raise, responsibilities vs compensation</t>
        </is>
      </c>
      <c r="I662" s="3" t="inlineStr">
        <is>
          <t>Increment Calculator</t>
        </is>
      </c>
      <c r="J662" s="3" t="inlineStr">
        <is>
          <t>/career/increment-calculator</t>
        </is>
      </c>
      <c r="K662" s="3" t="inlineStr">
        <is>
          <t>Analyze the 'dry promotion': why taking higher managerial responsibilities without compensation revision suppresses market value and causes burnout.</t>
        </is>
      </c>
      <c r="L662" s="2" t="inlineStr">
        <is>
          <t>YES</t>
        </is>
      </c>
      <c r="M662" s="2" t="inlineStr">
        <is>
          <t>HIGH</t>
        </is>
      </c>
      <c r="N662" s="2" t="inlineStr">
        <is>
          <t>READY</t>
        </is>
      </c>
      <c r="O662" s="3" t="inlineStr"/>
      <c r="P662" s="3" t="inlineStr"/>
      <c r="Q662" s="3" t="inlineStr"/>
      <c r="R662" s="3" t="inlineStr"/>
    </row>
    <row r="663" ht="20" customHeight="1">
      <c r="A663" s="4" t="inlineStr">
        <is>
          <t>ST662</t>
        </is>
      </c>
      <c r="B663" s="5" t="inlineStr">
        <is>
          <t>How to Calculate Salary Growth When Switching from Technical to Management Track</t>
        </is>
      </c>
      <c r="C663" s="4" t="inlineStr">
        <is>
          <t>Career</t>
        </is>
      </c>
      <c r="D663" s="5" t="inlineStr">
        <is>
          <t>Increment</t>
        </is>
      </c>
      <c r="E663" s="4" t="inlineStr">
        <is>
          <t>Guide</t>
        </is>
      </c>
      <c r="F663" s="4" t="inlineStr">
        <is>
          <t>Planning</t>
        </is>
      </c>
      <c r="G663" s="5" t="inlineStr">
        <is>
          <t>tech lead to engineering manager salary jump</t>
        </is>
      </c>
      <c r="H663" s="5" t="inlineStr">
        <is>
          <t>ic vs management track salary, engineering manager compensation increment, career path salary growth</t>
        </is>
      </c>
      <c r="I663" s="5" t="inlineStr">
        <is>
          <t>Increment Calculator</t>
        </is>
      </c>
      <c r="J663" s="5" t="inlineStr">
        <is>
          <t>/career/increment-calculator</t>
        </is>
      </c>
      <c r="K663" s="5" t="inlineStr">
        <is>
          <t>Compare individual contributor (Staff/Principal Engineer) compensation scales with managerial ladders (Engineering Manager/Director).</t>
        </is>
      </c>
      <c r="L663" s="4" t="inlineStr">
        <is>
          <t>YES</t>
        </is>
      </c>
      <c r="M663" s="4" t="inlineStr">
        <is>
          <t>MEDIUM</t>
        </is>
      </c>
      <c r="N663" s="4" t="inlineStr">
        <is>
          <t>READY</t>
        </is>
      </c>
      <c r="O663" s="5" t="inlineStr"/>
      <c r="P663" s="5" t="inlineStr"/>
      <c r="Q663" s="5" t="inlineStr"/>
      <c r="R663" s="5" t="inlineStr"/>
    </row>
    <row r="664" ht="20" customHeight="1">
      <c r="A664" s="2" t="inlineStr">
        <is>
          <t>ST663</t>
        </is>
      </c>
      <c r="B664" s="3" t="inlineStr">
        <is>
          <t>Evaluating Salary Increment During Probation Confirmation: Common Practices</t>
        </is>
      </c>
      <c r="C664" s="2" t="inlineStr">
        <is>
          <t>Career</t>
        </is>
      </c>
      <c r="D664" s="3" t="inlineStr">
        <is>
          <t>Increment</t>
        </is>
      </c>
      <c r="E664" s="2" t="inlineStr">
        <is>
          <t>Guide</t>
        </is>
      </c>
      <c r="F664" s="2" t="inlineStr">
        <is>
          <t>Reference</t>
        </is>
      </c>
      <c r="G664" s="3" t="inlineStr">
        <is>
          <t>salary hike after probation confirmation</t>
        </is>
      </c>
      <c r="H664" s="3" t="inlineStr">
        <is>
          <t>probation completion increment, does salary increase after probation, confirmation letter pay raise</t>
        </is>
      </c>
      <c r="I664" s="3" t="inlineStr">
        <is>
          <t>Increment Calculator</t>
        </is>
      </c>
      <c r="J664" s="3" t="inlineStr">
        <is>
          <t>/career/increment-calculator</t>
        </is>
      </c>
      <c r="K664" s="3" t="inlineStr">
        <is>
          <t>Explain when probation confirmation triggers contractual salary jumps (stipulated in offer letters) vs regular annual cycle alignments.</t>
        </is>
      </c>
      <c r="L664" s="2" t="inlineStr">
        <is>
          <t>YES</t>
        </is>
      </c>
      <c r="M664" s="2" t="inlineStr">
        <is>
          <t>MEDIUM</t>
        </is>
      </c>
      <c r="N664" s="2" t="inlineStr">
        <is>
          <t>READY</t>
        </is>
      </c>
      <c r="O664" s="3" t="inlineStr"/>
      <c r="P664" s="3" t="inlineStr"/>
      <c r="Q664" s="3" t="inlineStr"/>
      <c r="R664" s="3" t="inlineStr"/>
    </row>
    <row r="665" ht="20" customHeight="1">
      <c r="A665" s="4" t="inlineStr">
        <is>
          <t>ST664</t>
        </is>
      </c>
      <c r="B665" s="5" t="inlineStr">
        <is>
          <t>How to Calculate Salary Hike After Completing an Executive MBA or Master's</t>
        </is>
      </c>
      <c r="C665" s="4" t="inlineStr">
        <is>
          <t>Career</t>
        </is>
      </c>
      <c r="D665" s="5" t="inlineStr">
        <is>
          <t>Increment</t>
        </is>
      </c>
      <c r="E665" s="4" t="inlineStr">
        <is>
          <t>Guide</t>
        </is>
      </c>
      <c r="F665" s="4" t="inlineStr">
        <is>
          <t>Planning</t>
        </is>
      </c>
      <c r="G665" s="5" t="inlineStr">
        <is>
          <t>roi of executive mba salary hike</t>
        </is>
      </c>
      <c r="H665" s="5" t="inlineStr">
        <is>
          <t>salary increase after executive mba, iim 1 year mba average hike, master degree salary growth</t>
        </is>
      </c>
      <c r="I665" s="5" t="inlineStr">
        <is>
          <t>Increment Calculator</t>
        </is>
      </c>
      <c r="J665" s="5" t="inlineStr">
        <is>
          <t>/career/increment-calculator</t>
        </is>
      </c>
      <c r="K665" s="5" t="inlineStr">
        <is>
          <t>Calculate Net ROI: (Post-MBA CTC - Pre-MBA CTC) compared against tuition costs and lost opportunity wages during study sabbatical.</t>
        </is>
      </c>
      <c r="L665" s="4" t="inlineStr">
        <is>
          <t>YES</t>
        </is>
      </c>
      <c r="M665" s="4" t="inlineStr">
        <is>
          <t>HIGH</t>
        </is>
      </c>
      <c r="N665" s="4" t="inlineStr">
        <is>
          <t>READY</t>
        </is>
      </c>
      <c r="O665" s="5" t="inlineStr"/>
      <c r="P665" s="5" t="inlineStr"/>
      <c r="Q665" s="5" t="inlineStr"/>
      <c r="R665" s="5" t="inlineStr"/>
    </row>
    <row r="666" ht="20" customHeight="1">
      <c r="A666" s="2" t="inlineStr">
        <is>
          <t>ST665</t>
        </is>
      </c>
      <c r="B666" s="3" t="inlineStr">
        <is>
          <t>Summary Guide: Key Formulas for Calculating Salary Increments and Career Multipliers</t>
        </is>
      </c>
      <c r="C666" s="2" t="inlineStr">
        <is>
          <t>Career</t>
        </is>
      </c>
      <c r="D666" s="3" t="inlineStr">
        <is>
          <t>Increment</t>
        </is>
      </c>
      <c r="E666" s="2" t="inlineStr">
        <is>
          <t>Formula Guide</t>
        </is>
      </c>
      <c r="F666" s="2" t="inlineStr">
        <is>
          <t>Reference</t>
        </is>
      </c>
      <c r="G666" s="3" t="inlineStr">
        <is>
          <t>salary increment formulas summary</t>
        </is>
      </c>
      <c r="H666" s="3" t="inlineStr">
        <is>
          <t>all salary increment formulas, old vs new salary math, ctc growth cheat sheet</t>
        </is>
      </c>
      <c r="I666" s="3" t="inlineStr">
        <is>
          <t>Increment Calculator</t>
        </is>
      </c>
      <c r="J666" s="3" t="inlineStr">
        <is>
          <t>/career/increment-calculator</t>
        </is>
      </c>
      <c r="K666" s="3" t="inlineStr">
        <is>
          <t>Comprehensive formula reference table covering Absolute Increment, Percentage Hike, Arrears Calculation, CAGR, and Real Inflation-Adjusted Growth.</t>
        </is>
      </c>
      <c r="L666" s="2" t="inlineStr">
        <is>
          <t>YES</t>
        </is>
      </c>
      <c r="M666" s="2" t="inlineStr">
        <is>
          <t>HIGH</t>
        </is>
      </c>
      <c r="N666" s="2" t="inlineStr">
        <is>
          <t>READY</t>
        </is>
      </c>
      <c r="O666" s="3" t="inlineStr"/>
      <c r="P666" s="3" t="inlineStr"/>
      <c r="Q666" s="3" t="inlineStr"/>
      <c r="R666" s="3" t="inlineStr"/>
    </row>
    <row r="667" ht="20" customHeight="1">
      <c r="A667" s="4" t="inlineStr">
        <is>
          <t>ST666</t>
        </is>
      </c>
      <c r="B667" s="5" t="inlineStr">
        <is>
          <t>How EPF (Employee Provident Fund) Is Calculated: The 12% Rule Explained with Examples</t>
        </is>
      </c>
      <c r="C667" s="4" t="inlineStr">
        <is>
          <t>Career</t>
        </is>
      </c>
      <c r="D667" s="5" t="inlineStr">
        <is>
          <t>PF</t>
        </is>
      </c>
      <c r="E667" s="4" t="inlineStr">
        <is>
          <t>Formula Guide</t>
        </is>
      </c>
      <c r="F667" s="4" t="inlineStr">
        <is>
          <t>How-To</t>
        </is>
      </c>
      <c r="G667" s="5" t="inlineStr">
        <is>
          <t>how epf is calculated from salary</t>
        </is>
      </c>
      <c r="H667" s="5" t="inlineStr">
        <is>
          <t>epf calculation formula, 12 percent pf calculation basic, employee vs employer pf share</t>
        </is>
      </c>
      <c r="I667" s="5" t="inlineStr">
        <is>
          <t>PF Calculator</t>
        </is>
      </c>
      <c r="J667" s="5" t="inlineStr">
        <is>
          <t>/career/pf-calculator</t>
        </is>
      </c>
      <c r="K667" s="5" t="inlineStr">
        <is>
          <t>Break down the statutory formula: Employee contributes 12% of (Basic + DA). Employer contributes 12% split into EPF (3.67%) and EPS (8.33% capped at Rs 1,250).</t>
        </is>
      </c>
      <c r="L667" s="4" t="inlineStr">
        <is>
          <t>YES</t>
        </is>
      </c>
      <c r="M667" s="4" t="inlineStr">
        <is>
          <t>HIGH</t>
        </is>
      </c>
      <c r="N667" s="4" t="inlineStr">
        <is>
          <t>READY</t>
        </is>
      </c>
      <c r="O667" s="5" t="inlineStr"/>
      <c r="P667" s="5" t="inlineStr"/>
      <c r="Q667" s="5" t="inlineStr"/>
      <c r="R667" s="5" t="inlineStr"/>
    </row>
    <row r="668" ht="20" customHeight="1">
      <c r="A668" s="2" t="inlineStr">
        <is>
          <t>ST667</t>
        </is>
      </c>
      <c r="B668" s="3" t="inlineStr">
        <is>
          <t>Employee vs Employer PF Contribution: Understanding the Exact Split</t>
        </is>
      </c>
      <c r="C668" s="2" t="inlineStr">
        <is>
          <t>Career</t>
        </is>
      </c>
      <c r="D668" s="3" t="inlineStr">
        <is>
          <t>PF</t>
        </is>
      </c>
      <c r="E668" s="2" t="inlineStr">
        <is>
          <t>Comparison</t>
        </is>
      </c>
      <c r="F668" s="2" t="inlineStr">
        <is>
          <t>Educational</t>
        </is>
      </c>
      <c r="G668" s="3" t="inlineStr">
        <is>
          <t>employee vs employer pf contribution difference</t>
        </is>
      </c>
      <c r="H668" s="3" t="inlineStr">
        <is>
          <t>pf split explained, 3.67 vs 8.33 pf contribution, epfo contribution breakdown</t>
        </is>
      </c>
      <c r="I668" s="3" t="inlineStr">
        <is>
          <t>PF Calculator</t>
        </is>
      </c>
      <c r="J668" s="3" t="inlineStr">
        <is>
          <t>/career/pf-calculator</t>
        </is>
      </c>
      <c r="K668" s="3" t="inlineStr">
        <is>
          <t>Clarify the distribution: Employee (12% to EPF), Employer (3.67% to EPF, 8.33% to EPS pension, 0.5% EDLI insurance, 0.5% admin charges).</t>
        </is>
      </c>
      <c r="L668" s="2" t="inlineStr">
        <is>
          <t>YES</t>
        </is>
      </c>
      <c r="M668" s="2" t="inlineStr">
        <is>
          <t>HIGH</t>
        </is>
      </c>
      <c r="N668" s="2" t="inlineStr">
        <is>
          <t>READY</t>
        </is>
      </c>
      <c r="O668" s="3" t="inlineStr"/>
      <c r="P668" s="3" t="inlineStr"/>
      <c r="Q668" s="3" t="inlineStr"/>
      <c r="R668" s="3" t="inlineStr"/>
    </row>
    <row r="669" ht="20" customHeight="1">
      <c r="A669" s="4" t="inlineStr">
        <is>
          <t>ST668</t>
        </is>
      </c>
      <c r="B669" s="5" t="inlineStr">
        <is>
          <t>Voluntary Provident Fund (VPF): How to Invest More than 12% for Tax-Free Returns</t>
        </is>
      </c>
      <c r="C669" s="4" t="inlineStr">
        <is>
          <t>Career</t>
        </is>
      </c>
      <c r="D669" s="5" t="inlineStr">
        <is>
          <t>PF</t>
        </is>
      </c>
      <c r="E669" s="4" t="inlineStr">
        <is>
          <t>Guide</t>
        </is>
      </c>
      <c r="F669" s="4" t="inlineStr">
        <is>
          <t>How-To</t>
        </is>
      </c>
      <c r="G669" s="5" t="inlineStr">
        <is>
          <t>vpf voluntary provident fund rules</t>
        </is>
      </c>
      <c r="H669" s="5" t="inlineStr">
        <is>
          <t>how to invest in vpf, vpf interest rate, vpf vs ppf comparison, increasing pf contribution</t>
        </is>
      </c>
      <c r="I669" s="5" t="inlineStr">
        <is>
          <t>PF Calculator</t>
        </is>
      </c>
      <c r="J669" s="5" t="inlineStr">
        <is>
          <t>/career/pf-calculator</t>
        </is>
      </c>
      <c r="K669" s="5" t="inlineStr">
        <is>
          <t>Explain how employees can voluntarily contribute up to 100% of Basic + DA to VPF at the exact same sovereign interest rate declared by EPFO.</t>
        </is>
      </c>
      <c r="L669" s="4" t="inlineStr">
        <is>
          <t>YES</t>
        </is>
      </c>
      <c r="M669" s="4" t="inlineStr">
        <is>
          <t>HIGH</t>
        </is>
      </c>
      <c r="N669" s="4" t="inlineStr">
        <is>
          <t>READY</t>
        </is>
      </c>
      <c r="O669" s="5" t="inlineStr"/>
      <c r="P669" s="5" t="inlineStr"/>
      <c r="Q669" s="5" t="inlineStr"/>
      <c r="R669" s="5" t="inlineStr"/>
    </row>
    <row r="670" ht="20" customHeight="1">
      <c r="A670" s="2" t="inlineStr">
        <is>
          <t>ST669</t>
        </is>
      </c>
      <c r="B670" s="3" t="inlineStr">
        <is>
          <t>How EPFO Calculates Interest on Your PF Balance: Monthly Running Balance Method</t>
        </is>
      </c>
      <c r="C670" s="2" t="inlineStr">
        <is>
          <t>Career</t>
        </is>
      </c>
      <c r="D670" s="3" t="inlineStr">
        <is>
          <t>PF</t>
        </is>
      </c>
      <c r="E670" s="2" t="inlineStr">
        <is>
          <t>Formula Guide</t>
        </is>
      </c>
      <c r="F670" s="2" t="inlineStr">
        <is>
          <t>Educational</t>
        </is>
      </c>
      <c r="G670" s="3" t="inlineStr">
        <is>
          <t>how epfo calculates interest on pf balance</t>
        </is>
      </c>
      <c r="H670" s="3" t="inlineStr">
        <is>
          <t>epf interest calculation formula, monthly running balance pf interest, when is pf interest credited</t>
        </is>
      </c>
      <c r="I670" s="3" t="inlineStr">
        <is>
          <t>PF Calculator</t>
        </is>
      </c>
      <c r="J670" s="3" t="inlineStr">
        <is>
          <t>/career/pf-calculator</t>
        </is>
      </c>
      <c r="K670" s="3" t="inlineStr">
        <is>
          <t>Demonstrate the monthly compounding balance method: interest accrues monthly on closing balances but is officially credited annually on March 31.</t>
        </is>
      </c>
      <c r="L670" s="2" t="inlineStr">
        <is>
          <t>YES</t>
        </is>
      </c>
      <c r="M670" s="2" t="inlineStr">
        <is>
          <t>HIGH</t>
        </is>
      </c>
      <c r="N670" s="2" t="inlineStr">
        <is>
          <t>READY</t>
        </is>
      </c>
      <c r="O670" s="3" t="inlineStr"/>
      <c r="P670" s="3" t="inlineStr"/>
      <c r="Q670" s="3" t="inlineStr"/>
      <c r="R670" s="3" t="inlineStr"/>
    </row>
    <row r="671" ht="20" customHeight="1">
      <c r="A671" s="4" t="inlineStr">
        <is>
          <t>ST670</t>
        </is>
      </c>
      <c r="B671" s="5" t="inlineStr">
        <is>
          <t>The Rs 2.5 Lakh PF Interest Taxation Rule: How Excess Contributions Are Taxed</t>
        </is>
      </c>
      <c r="C671" s="4" t="inlineStr">
        <is>
          <t>Career</t>
        </is>
      </c>
      <c r="D671" s="5" t="inlineStr">
        <is>
          <t>PF</t>
        </is>
      </c>
      <c r="E671" s="4" t="inlineStr">
        <is>
          <t>Guide</t>
        </is>
      </c>
      <c r="F671" s="4" t="inlineStr">
        <is>
          <t>Reference</t>
        </is>
      </c>
      <c r="G671" s="5" t="inlineStr">
        <is>
          <t>tax on pf contribution above 2.5 lakh</t>
        </is>
      </c>
      <c r="H671" s="5" t="inlineStr">
        <is>
          <t>epf interest tax section 10 11, taxable vs non taxable pf account, pf contribution limit tax exemption</t>
        </is>
      </c>
      <c r="I671" s="5" t="inlineStr">
        <is>
          <t>PF Calculator</t>
        </is>
      </c>
      <c r="J671" s="5" t="inlineStr">
        <is>
          <t>/career/pf-calculator</t>
        </is>
      </c>
      <c r="K671" s="5" t="inlineStr">
        <is>
          <t>Explain the statutory limit: interest on employee contributions exceeding Rs 2.5 Lakh per year is fully taxable at slab rates (Rs 5 Lakh limit if no employer contribution).</t>
        </is>
      </c>
      <c r="L671" s="4" t="inlineStr">
        <is>
          <t>YES</t>
        </is>
      </c>
      <c r="M671" s="4" t="inlineStr">
        <is>
          <t>HIGH</t>
        </is>
      </c>
      <c r="N671" s="4" t="inlineStr">
        <is>
          <t>READY</t>
        </is>
      </c>
      <c r="O671" s="5" t="inlineStr"/>
      <c r="P671" s="5" t="inlineStr"/>
      <c r="Q671" s="5" t="inlineStr"/>
      <c r="R671" s="5" t="inlineStr"/>
    </row>
    <row r="672" ht="20" customHeight="1">
      <c r="A672" s="2" t="inlineStr">
        <is>
          <t>ST671</t>
        </is>
      </c>
      <c r="B672" s="3" t="inlineStr">
        <is>
          <t>Employee Pension Scheme (EPS 95): Eligibility, Pension Formula, and Monthly Payout</t>
        </is>
      </c>
      <c r="C672" s="2" t="inlineStr">
        <is>
          <t>Career</t>
        </is>
      </c>
      <c r="D672" s="3" t="inlineStr">
        <is>
          <t>PF</t>
        </is>
      </c>
      <c r="E672" s="2" t="inlineStr">
        <is>
          <t>Formula Guide</t>
        </is>
      </c>
      <c r="F672" s="2" t="inlineStr">
        <is>
          <t>Reference</t>
        </is>
      </c>
      <c r="G672" s="3" t="inlineStr">
        <is>
          <t>eps pension calculation formula</t>
        </is>
      </c>
      <c r="H672" s="3" t="inlineStr">
        <is>
          <t>employee pension scheme eligibility, monthly pension after retirement, eps 95 formula</t>
        </is>
      </c>
      <c r="I672" s="3" t="inlineStr">
        <is>
          <t>PF Calculator</t>
        </is>
      </c>
      <c r="J672" s="3" t="inlineStr">
        <is>
          <t>/career/pf-calculator</t>
        </is>
      </c>
      <c r="K672" s="3" t="inlineStr">
        <is>
          <t>Formula: Monthly Pension = (Pensionable Salary * Pensionable Service) / 70. Explain the 10-year service eligibility criteria and maximum pensionable salary ceiling (Rs 15,000).</t>
        </is>
      </c>
      <c r="L672" s="2" t="inlineStr">
        <is>
          <t>YES</t>
        </is>
      </c>
      <c r="M672" s="2" t="inlineStr">
        <is>
          <t>HIGH</t>
        </is>
      </c>
      <c r="N672" s="2" t="inlineStr">
        <is>
          <t>READY</t>
        </is>
      </c>
      <c r="O672" s="3" t="inlineStr"/>
      <c r="P672" s="3" t="inlineStr"/>
      <c r="Q672" s="3" t="inlineStr"/>
      <c r="R672" s="3" t="inlineStr"/>
    </row>
    <row r="673" ht="20" customHeight="1">
      <c r="A673" s="4" t="inlineStr">
        <is>
          <t>ST672</t>
        </is>
      </c>
      <c r="B673" s="5" t="inlineStr">
        <is>
          <t>Universal Account Number (UAN): How to Link and Transfer PF Between Employers Online</t>
        </is>
      </c>
      <c r="C673" s="4" t="inlineStr">
        <is>
          <t>Career</t>
        </is>
      </c>
      <c r="D673" s="5" t="inlineStr">
        <is>
          <t>PF</t>
        </is>
      </c>
      <c r="E673" s="4" t="inlineStr">
        <is>
          <t>Guide</t>
        </is>
      </c>
      <c r="F673" s="4" t="inlineStr">
        <is>
          <t>How-To</t>
        </is>
      </c>
      <c r="G673" s="5" t="inlineStr">
        <is>
          <t>how to transfer pf online using uan</t>
        </is>
      </c>
      <c r="H673" s="5" t="inlineStr">
        <is>
          <t>epfo unified portal transfer, online pf transfer form 13, transferring pf from old company</t>
        </is>
      </c>
      <c r="I673" s="5" t="inlineStr">
        <is>
          <t>PF Calculator</t>
        </is>
      </c>
      <c r="J673" s="5" t="inlineStr">
        <is>
          <t>/career/pf-calculator</t>
        </is>
      </c>
      <c r="K673" s="5" t="inlineStr">
        <is>
          <t>Step-by-step guide to logging into EPFO Unified Portal, tracking Member IDs, initiating Form 13 transfer, and employer digital signature verification.</t>
        </is>
      </c>
      <c r="L673" s="4" t="inlineStr">
        <is>
          <t>YES</t>
        </is>
      </c>
      <c r="M673" s="4" t="inlineStr">
        <is>
          <t>HIGH</t>
        </is>
      </c>
      <c r="N673" s="4" t="inlineStr">
        <is>
          <t>READY</t>
        </is>
      </c>
      <c r="O673" s="5" t="inlineStr"/>
      <c r="P673" s="5" t="inlineStr"/>
      <c r="Q673" s="5" t="inlineStr"/>
      <c r="R673" s="5" t="inlineStr"/>
    </row>
    <row r="674" ht="20" customHeight="1">
      <c r="A674" s="2" t="inlineStr">
        <is>
          <t>ST673</t>
        </is>
      </c>
      <c r="B674" s="3" t="inlineStr">
        <is>
          <t>PF Withdrawal Rules Before 5 Years: TDS Deduction and Tax Implications</t>
        </is>
      </c>
      <c r="C674" s="2" t="inlineStr">
        <is>
          <t>Career</t>
        </is>
      </c>
      <c r="D674" s="3" t="inlineStr">
        <is>
          <t>PF</t>
        </is>
      </c>
      <c r="E674" s="2" t="inlineStr">
        <is>
          <t>Guide</t>
        </is>
      </c>
      <c r="F674" s="2" t="inlineStr">
        <is>
          <t>Reference</t>
        </is>
      </c>
      <c r="G674" s="3" t="inlineStr">
        <is>
          <t>pf withdrawal rules before 5 years</t>
        </is>
      </c>
      <c r="H674" s="3" t="inlineStr">
        <is>
          <t>tds on pf withdrawal section 192a, pf withdrawal taxable or not, form 15g for pf withdrawal</t>
        </is>
      </c>
      <c r="I674" s="3" t="inlineStr">
        <is>
          <t>PF Calculator</t>
        </is>
      </c>
      <c r="J674" s="3" t="inlineStr">
        <is>
          <t>/career/pf-calculator</t>
        </is>
      </c>
      <c r="K674" s="3" t="inlineStr">
        <is>
          <t>Explain why withdrawing PF before 5 continuous years of service triggers retrospective taxation on employer contribution, interest, and 80C deductions, plus 10% TDS.</t>
        </is>
      </c>
      <c r="L674" s="2" t="inlineStr">
        <is>
          <t>YES</t>
        </is>
      </c>
      <c r="M674" s="2" t="inlineStr">
        <is>
          <t>HIGH</t>
        </is>
      </c>
      <c r="N674" s="2" t="inlineStr">
        <is>
          <t>READY</t>
        </is>
      </c>
      <c r="O674" s="3" t="inlineStr"/>
      <c r="P674" s="3" t="inlineStr"/>
      <c r="Q674" s="3" t="inlineStr"/>
      <c r="R674" s="3" t="inlineStr"/>
    </row>
    <row r="675" ht="20" customHeight="1">
      <c r="A675" s="4" t="inlineStr">
        <is>
          <t>ST674</t>
        </is>
      </c>
      <c r="B675" s="5" t="inlineStr">
        <is>
          <t>Partial PF Withdrawal for House Construction, Marriage, and Medical Emergencies</t>
        </is>
      </c>
      <c r="C675" s="4" t="inlineStr">
        <is>
          <t>Career</t>
        </is>
      </c>
      <c r="D675" s="5" t="inlineStr">
        <is>
          <t>PF</t>
        </is>
      </c>
      <c r="E675" s="4" t="inlineStr">
        <is>
          <t>Guide</t>
        </is>
      </c>
      <c r="F675" s="4" t="inlineStr">
        <is>
          <t>Reference</t>
        </is>
      </c>
      <c r="G675" s="5" t="inlineStr">
        <is>
          <t>partial pf withdrawal rules and limits</t>
        </is>
      </c>
      <c r="H675" s="5" t="inlineStr">
        <is>
          <t>epfo advance withdrawal form 31, non refundable pf advance, pf withdrawal for home loan</t>
        </is>
      </c>
      <c r="I675" s="5" t="inlineStr">
        <is>
          <t>PF Calculator</t>
        </is>
      </c>
      <c r="J675" s="5" t="inlineStr">
        <is>
          <t>/career/pf-calculator</t>
        </is>
      </c>
      <c r="K675" s="5" t="inlineStr">
        <is>
          <t>Review permissible non-refundable EPF advances under Form 31: maximum service years required, withdrawal ceilings, and zero tax implications.</t>
        </is>
      </c>
      <c r="L675" s="4" t="inlineStr">
        <is>
          <t>YES</t>
        </is>
      </c>
      <c r="M675" s="4" t="inlineStr">
        <is>
          <t>HIGH</t>
        </is>
      </c>
      <c r="N675" s="4" t="inlineStr">
        <is>
          <t>READY</t>
        </is>
      </c>
      <c r="O675" s="5" t="inlineStr"/>
      <c r="P675" s="5" t="inlineStr"/>
      <c r="Q675" s="5" t="inlineStr"/>
      <c r="R675" s="5" t="inlineStr"/>
    </row>
    <row r="676" ht="20" customHeight="1">
      <c r="A676" s="2" t="inlineStr">
        <is>
          <t>ST675</t>
        </is>
      </c>
      <c r="B676" s="3" t="inlineStr">
        <is>
          <t>How to Project Your Retirement PF Corpus After 20, 25, or 30 Years of Service</t>
        </is>
      </c>
      <c r="C676" s="2" t="inlineStr">
        <is>
          <t>Career</t>
        </is>
      </c>
      <c r="D676" s="3" t="inlineStr">
        <is>
          <t>PF</t>
        </is>
      </c>
      <c r="E676" s="2" t="inlineStr">
        <is>
          <t>Planning Guide</t>
        </is>
      </c>
      <c r="F676" s="2" t="inlineStr">
        <is>
          <t>Planning</t>
        </is>
      </c>
      <c r="G676" s="3" t="inlineStr">
        <is>
          <t>how much pf corpus after 30 years</t>
        </is>
      </c>
      <c r="H676" s="3" t="inlineStr">
        <is>
          <t>epf retirement corpus calculator, compound growth of pf, multi year pf projection</t>
        </is>
      </c>
      <c r="I676" s="3" t="inlineStr">
        <is>
          <t>PF Calculator</t>
        </is>
      </c>
      <c r="J676" s="3" t="inlineStr">
        <is>
          <t>/career/pf-calculator</t>
        </is>
      </c>
      <c r="K676" s="3" t="inlineStr">
        <is>
          <t>Walk through multi-decade compound accumulation assuming 8.15% interest and annual salary increments (e.g. 5-8%), showing how compounding builds crores.</t>
        </is>
      </c>
      <c r="L676" s="2" t="inlineStr">
        <is>
          <t>YES</t>
        </is>
      </c>
      <c r="M676" s="2" t="inlineStr">
        <is>
          <t>HIGH</t>
        </is>
      </c>
      <c r="N676" s="2" t="inlineStr">
        <is>
          <t>READY</t>
        </is>
      </c>
      <c r="O676" s="3" t="inlineStr"/>
      <c r="P676" s="3" t="inlineStr"/>
      <c r="Q676" s="3" t="inlineStr"/>
      <c r="R676" s="3" t="inlineStr"/>
    </row>
    <row r="677" ht="20" customHeight="1">
      <c r="A677" s="4" t="inlineStr">
        <is>
          <t>ST676</t>
        </is>
      </c>
      <c r="B677" s="5" t="inlineStr">
        <is>
          <t>What Is the Rs 15,000 Wage Ceiling in EPF and How Does It Affect Deductions?</t>
        </is>
      </c>
      <c r="C677" s="4" t="inlineStr">
        <is>
          <t>Career</t>
        </is>
      </c>
      <c r="D677" s="5" t="inlineStr">
        <is>
          <t>PF</t>
        </is>
      </c>
      <c r="E677" s="4" t="inlineStr">
        <is>
          <t>Explanation</t>
        </is>
      </c>
      <c r="F677" s="4" t="inlineStr">
        <is>
          <t>Reference</t>
        </is>
      </c>
      <c r="G677" s="5" t="inlineStr">
        <is>
          <t>statutory wage ceiling in epf 15000</t>
        </is>
      </c>
      <c r="H677" s="5" t="inlineStr">
        <is>
          <t>pf on actual basic vs 15000, opting out of epf rule, statutory pf limit</t>
        </is>
      </c>
      <c r="I677" s="5" t="inlineStr">
        <is>
          <t>PF Calculator</t>
        </is>
      </c>
      <c r="J677" s="5" t="inlineStr">
        <is>
          <t>/career/pf-calculator</t>
        </is>
      </c>
      <c r="K677" s="5" t="inlineStr">
        <is>
          <t>Explain why mandatory PF applies up to Rs 15,000 basic wage, and why private companies allow or mandate PF on full actual basic pay.</t>
        </is>
      </c>
      <c r="L677" s="4" t="inlineStr">
        <is>
          <t>YES</t>
        </is>
      </c>
      <c r="M677" s="4" t="inlineStr">
        <is>
          <t>HIGH</t>
        </is>
      </c>
      <c r="N677" s="4" t="inlineStr">
        <is>
          <t>READY</t>
        </is>
      </c>
      <c r="O677" s="5" t="inlineStr"/>
      <c r="P677" s="5" t="inlineStr"/>
      <c r="Q677" s="5" t="inlineStr"/>
      <c r="R677" s="5" t="inlineStr"/>
    </row>
    <row r="678" ht="20" customHeight="1">
      <c r="A678" s="2" t="inlineStr">
        <is>
          <t>ST677</t>
        </is>
      </c>
      <c r="B678" s="3" t="inlineStr">
        <is>
          <t>How to Calculate Gratuity and PF Together in Your Final Settlement (F&amp;F)</t>
        </is>
      </c>
      <c r="C678" s="2" t="inlineStr">
        <is>
          <t>Career</t>
        </is>
      </c>
      <c r="D678" s="3" t="inlineStr">
        <is>
          <t>PF</t>
        </is>
      </c>
      <c r="E678" s="2" t="inlineStr">
        <is>
          <t>How-To</t>
        </is>
      </c>
      <c r="F678" s="2" t="inlineStr">
        <is>
          <t>How-To</t>
        </is>
      </c>
      <c r="G678" s="3" t="inlineStr">
        <is>
          <t>how pf and gratuity are settled in fnf</t>
        </is>
      </c>
      <c r="H678" s="3" t="inlineStr">
        <is>
          <t>full and final settlement calculation, gratuity vs pf settlement, clearing pf after resigning</t>
        </is>
      </c>
      <c r="I678" s="3" t="inlineStr">
        <is>
          <t>PF Calculator</t>
        </is>
      </c>
      <c r="J678" s="3" t="inlineStr">
        <is>
          <t>/career/pf-calculator</t>
        </is>
      </c>
      <c r="K678" s="3" t="inlineStr">
        <is>
          <t>Detail the dual payout process: employer directly settles Gratuity in final paycheck, while PF is transferred or withdrawn separately via EPFO portal.</t>
        </is>
      </c>
      <c r="L678" s="2" t="inlineStr">
        <is>
          <t>YES</t>
        </is>
      </c>
      <c r="M678" s="2" t="inlineStr">
        <is>
          <t>HIGH</t>
        </is>
      </c>
      <c r="N678" s="2" t="inlineStr">
        <is>
          <t>READY</t>
        </is>
      </c>
      <c r="O678" s="3" t="inlineStr"/>
      <c r="P678" s="3" t="inlineStr"/>
      <c r="Q678" s="3" t="inlineStr"/>
      <c r="R678" s="3" t="inlineStr"/>
    </row>
    <row r="679" ht="20" customHeight="1">
      <c r="A679" s="4" t="inlineStr">
        <is>
          <t>ST678</t>
        </is>
      </c>
      <c r="B679" s="5" t="inlineStr">
        <is>
          <t>Understanding EDLI (Employees' Deposit Linked Insurance): Free Life Cover up to Rs 7 Lakh</t>
        </is>
      </c>
      <c r="C679" s="4" t="inlineStr">
        <is>
          <t>Career</t>
        </is>
      </c>
      <c r="D679" s="5" t="inlineStr">
        <is>
          <t>PF</t>
        </is>
      </c>
      <c r="E679" s="4" t="inlineStr">
        <is>
          <t>Guide</t>
        </is>
      </c>
      <c r="F679" s="4" t="inlineStr">
        <is>
          <t>Reference</t>
        </is>
      </c>
      <c r="G679" s="5" t="inlineStr">
        <is>
          <t>edli scheme life insurance epfo</t>
        </is>
      </c>
      <c r="H679" s="5" t="inlineStr">
        <is>
          <t>free life insurance through pf, edli calculation formula, maximum claim edli 7 lakh</t>
        </is>
      </c>
      <c r="I679" s="5" t="inlineStr">
        <is>
          <t>PF Calculator</t>
        </is>
      </c>
      <c r="J679" s="5" t="inlineStr">
        <is>
          <t>/career/pf-calculator</t>
        </is>
      </c>
      <c r="K679" s="5" t="inlineStr">
        <is>
          <t>Explain the statutory life insurance provided automatically to all EPF members: calculation formula based on average PF balance and maximum payout limit.</t>
        </is>
      </c>
      <c r="L679" s="4" t="inlineStr">
        <is>
          <t>YES</t>
        </is>
      </c>
      <c r="M679" s="4" t="inlineStr">
        <is>
          <t>HIGH</t>
        </is>
      </c>
      <c r="N679" s="4" t="inlineStr">
        <is>
          <t>READY</t>
        </is>
      </c>
      <c r="O679" s="5" t="inlineStr"/>
      <c r="P679" s="5" t="inlineStr"/>
      <c r="Q679" s="5" t="inlineStr"/>
      <c r="R679" s="5" t="inlineStr"/>
    </row>
    <row r="680" ht="20" customHeight="1">
      <c r="A680" s="2" t="inlineStr">
        <is>
          <t>ST679</t>
        </is>
      </c>
      <c r="B680" s="3" t="inlineStr">
        <is>
          <t>Can You Opt Out of EPF (Provident Fund) When Starting a New Job?</t>
        </is>
      </c>
      <c r="C680" s="2" t="inlineStr">
        <is>
          <t>Career</t>
        </is>
      </c>
      <c r="D680" s="3" t="inlineStr">
        <is>
          <t>PF</t>
        </is>
      </c>
      <c r="E680" s="2" t="inlineStr">
        <is>
          <t>Explanation</t>
        </is>
      </c>
      <c r="F680" s="2" t="inlineStr">
        <is>
          <t>Informational</t>
        </is>
      </c>
      <c r="G680" s="3" t="inlineStr">
        <is>
          <t>can i opt out of epf</t>
        </is>
      </c>
      <c r="H680" s="3" t="inlineStr">
        <is>
          <t>how to opt out of pf in india, form 11 opt out epf, who is exempt from pf</t>
        </is>
      </c>
      <c r="I680" s="3" t="inlineStr">
        <is>
          <t>PF Calculator</t>
        </is>
      </c>
      <c r="J680" s="3" t="inlineStr">
        <is>
          <t>/career/pf-calculator</t>
        </is>
      </c>
      <c r="K680" s="3" t="inlineStr">
        <is>
          <t>Explain the strict condition: an employee can only opt out if their basic pay exceeds Rs 15,000 per month AND they have never been an EPF member before.</t>
        </is>
      </c>
      <c r="L680" s="2" t="inlineStr">
        <is>
          <t>YES</t>
        </is>
      </c>
      <c r="M680" s="2" t="inlineStr">
        <is>
          <t>HIGH</t>
        </is>
      </c>
      <c r="N680" s="2" t="inlineStr">
        <is>
          <t>READY</t>
        </is>
      </c>
      <c r="O680" s="3" t="inlineStr"/>
      <c r="P680" s="3" t="inlineStr"/>
      <c r="Q680" s="3" t="inlineStr"/>
      <c r="R680" s="3" t="inlineStr"/>
    </row>
    <row r="681" ht="20" customHeight="1">
      <c r="A681" s="4" t="inlineStr">
        <is>
          <t>ST680</t>
        </is>
      </c>
      <c r="B681" s="5" t="inlineStr">
        <is>
          <t>How to Check Your EPF Balance Using Passbook Portal and UMANG App</t>
        </is>
      </c>
      <c r="C681" s="4" t="inlineStr">
        <is>
          <t>Career</t>
        </is>
      </c>
      <c r="D681" s="5" t="inlineStr">
        <is>
          <t>PF</t>
        </is>
      </c>
      <c r="E681" s="4" t="inlineStr">
        <is>
          <t>How-To</t>
        </is>
      </c>
      <c r="F681" s="4" t="inlineStr">
        <is>
          <t>How-To</t>
        </is>
      </c>
      <c r="G681" s="5" t="inlineStr">
        <is>
          <t>how to check epf balance online</t>
        </is>
      </c>
      <c r="H681" s="5" t="inlineStr">
        <is>
          <t>epfo passbook download, check pf balance umang app, sms missed call pf balance</t>
        </is>
      </c>
      <c r="I681" s="5" t="inlineStr">
        <is>
          <t>PF Calculator</t>
        </is>
      </c>
      <c r="J681" s="5" t="inlineStr">
        <is>
          <t>/career/pf-calculator</t>
        </is>
      </c>
      <c r="K681" s="5" t="inlineStr">
        <is>
          <t>Guide to viewing monthly contribution credits, employer shares, interest updates, and downloading electronic passbooks.</t>
        </is>
      </c>
      <c r="L681" s="4" t="inlineStr">
        <is>
          <t>YES</t>
        </is>
      </c>
      <c r="M681" s="4" t="inlineStr">
        <is>
          <t>HIGH</t>
        </is>
      </c>
      <c r="N681" s="4" t="inlineStr">
        <is>
          <t>READY</t>
        </is>
      </c>
      <c r="O681" s="5" t="inlineStr"/>
      <c r="P681" s="5" t="inlineStr"/>
      <c r="Q681" s="5" t="inlineStr"/>
      <c r="R681" s="5" t="inlineStr"/>
    </row>
    <row r="682" ht="20" customHeight="1">
      <c r="A682" s="2" t="inlineStr">
        <is>
          <t>ST681</t>
        </is>
      </c>
      <c r="B682" s="3" t="inlineStr">
        <is>
          <t>What Happens to Your EPF Account If You Become an Inactive Member or Unemployed?</t>
        </is>
      </c>
      <c r="C682" s="2" t="inlineStr">
        <is>
          <t>Career</t>
        </is>
      </c>
      <c r="D682" s="3" t="inlineStr">
        <is>
          <t>PF</t>
        </is>
      </c>
      <c r="E682" s="2" t="inlineStr">
        <is>
          <t>Explanation</t>
        </is>
      </c>
      <c r="F682" s="2" t="inlineStr">
        <is>
          <t>Reference</t>
        </is>
      </c>
      <c r="G682" s="3" t="inlineStr">
        <is>
          <t>inoperative pf account rules</t>
        </is>
      </c>
      <c r="H682" s="3" t="inlineStr">
        <is>
          <t>does pf earn interest after resigning, inactive epf account interest, 36 months pf rule</t>
        </is>
      </c>
      <c r="I682" s="3" t="inlineStr">
        <is>
          <t>PF Calculator</t>
        </is>
      </c>
      <c r="J682" s="3" t="inlineStr">
        <is>
          <t>/career/pf-calculator</t>
        </is>
      </c>
      <c r="K682" s="3" t="inlineStr">
        <is>
          <t>Clarify current EPFO rules: accounts continue to earn interest until retirement age (58 years) even without active monthly employer contributions.</t>
        </is>
      </c>
      <c r="L682" s="2" t="inlineStr">
        <is>
          <t>YES</t>
        </is>
      </c>
      <c r="M682" s="2" t="inlineStr">
        <is>
          <t>HIGH</t>
        </is>
      </c>
      <c r="N682" s="2" t="inlineStr">
        <is>
          <t>READY</t>
        </is>
      </c>
      <c r="O682" s="3" t="inlineStr"/>
      <c r="P682" s="3" t="inlineStr"/>
      <c r="Q682" s="3" t="inlineStr"/>
      <c r="R682" s="3" t="inlineStr"/>
    </row>
    <row r="683" ht="20" customHeight="1">
      <c r="A683" s="4" t="inlineStr">
        <is>
          <t>ST682</t>
        </is>
      </c>
      <c r="B683" s="5" t="inlineStr">
        <is>
          <t>How to Calculate Pension with Higher EPS Contribution: Supreme Court Judgment Explained</t>
        </is>
      </c>
      <c r="C683" s="4" t="inlineStr">
        <is>
          <t>Career</t>
        </is>
      </c>
      <c r="D683" s="5" t="inlineStr">
        <is>
          <t>PF</t>
        </is>
      </c>
      <c r="E683" s="4" t="inlineStr">
        <is>
          <t>Explanation</t>
        </is>
      </c>
      <c r="F683" s="4" t="inlineStr">
        <is>
          <t>Reference</t>
        </is>
      </c>
      <c r="G683" s="5" t="inlineStr">
        <is>
          <t>higher pension on actual salary epfo</t>
        </is>
      </c>
      <c r="H683" s="5" t="inlineStr">
        <is>
          <t>supreme court epfo judgment, higher eps pension formula, joint option higher pension</t>
        </is>
      </c>
      <c r="I683" s="5" t="inlineStr">
        <is>
          <t>PF Calculator</t>
        </is>
      </c>
      <c r="J683" s="5" t="inlineStr">
        <is>
          <t>/career/pf-calculator</t>
        </is>
      </c>
      <c r="K683" s="5" t="inlineStr">
        <is>
          <t>Explain the landmark ruling allowing employees to contribute 8.33% on full basic salary rather than the Rs 15,000 ceiling, and its financial trade-offs.</t>
        </is>
      </c>
      <c r="L683" s="4" t="inlineStr">
        <is>
          <t>YES</t>
        </is>
      </c>
      <c r="M683" s="4" t="inlineStr">
        <is>
          <t>HIGH</t>
        </is>
      </c>
      <c r="N683" s="4" t="inlineStr">
        <is>
          <t>READY</t>
        </is>
      </c>
      <c r="O683" s="5" t="inlineStr"/>
      <c r="P683" s="5" t="inlineStr"/>
      <c r="Q683" s="5" t="inlineStr"/>
      <c r="R683" s="5" t="inlineStr"/>
    </row>
    <row r="684" ht="20" customHeight="1">
      <c r="A684" s="2" t="inlineStr">
        <is>
          <t>ST683</t>
        </is>
      </c>
      <c r="B684" s="3" t="inlineStr">
        <is>
          <t>Exempted vs Unexempted PF Trusts: How Private Company PF Trusts Operate</t>
        </is>
      </c>
      <c r="C684" s="2" t="inlineStr">
        <is>
          <t>Career</t>
        </is>
      </c>
      <c r="D684" s="3" t="inlineStr">
        <is>
          <t>PF</t>
        </is>
      </c>
      <c r="E684" s="2" t="inlineStr">
        <is>
          <t>Comparison</t>
        </is>
      </c>
      <c r="F684" s="2" t="inlineStr">
        <is>
          <t>Educational</t>
        </is>
      </c>
      <c r="G684" s="3" t="inlineStr">
        <is>
          <t>exempted pf trust vs epfo</t>
        </is>
      </c>
      <c r="H684" s="3" t="inlineStr">
        <is>
          <t>tcs wipro infosys private pf trust, exempted establishment pf rules, transferring from private trust to epfo</t>
        </is>
      </c>
      <c r="I684" s="3" t="inlineStr">
        <is>
          <t>PF Calculator</t>
        </is>
      </c>
      <c r="J684" s="3" t="inlineStr">
        <is>
          <t>/career/pf-calculator</t>
        </is>
      </c>
      <c r="K684" s="3" t="inlineStr">
        <is>
          <t>Explain why large IT companies manage their own internal registered PF trusts, ensuring returns match or exceed statutory EPFO interest rates.</t>
        </is>
      </c>
      <c r="L684" s="2" t="inlineStr">
        <is>
          <t>YES</t>
        </is>
      </c>
      <c r="M684" s="2" t="inlineStr">
        <is>
          <t>MEDIUM</t>
        </is>
      </c>
      <c r="N684" s="2" t="inlineStr">
        <is>
          <t>READY</t>
        </is>
      </c>
      <c r="O684" s="3" t="inlineStr"/>
      <c r="P684" s="3" t="inlineStr"/>
      <c r="Q684" s="3" t="inlineStr"/>
      <c r="R684" s="3" t="inlineStr"/>
    </row>
    <row r="685" ht="20" customHeight="1">
      <c r="A685" s="4" t="inlineStr">
        <is>
          <t>ST684</t>
        </is>
      </c>
      <c r="B685" s="5" t="inlineStr">
        <is>
          <t>How to Correct Name, DOB, or Gender Mismatches in EPFO Using Joint Declaration</t>
        </is>
      </c>
      <c r="C685" s="4" t="inlineStr">
        <is>
          <t>Career</t>
        </is>
      </c>
      <c r="D685" s="5" t="inlineStr">
        <is>
          <t>PF</t>
        </is>
      </c>
      <c r="E685" s="4" t="inlineStr">
        <is>
          <t>Guide</t>
        </is>
      </c>
      <c r="F685" s="4" t="inlineStr">
        <is>
          <t>How-To</t>
        </is>
      </c>
      <c r="G685" s="5" t="inlineStr">
        <is>
          <t>epfo joint declaration online</t>
        </is>
      </c>
      <c r="H685" s="5" t="inlineStr">
        <is>
          <t>correcting name in pf uan, aadhaar uan name mismatch, joint declaration form online process</t>
        </is>
      </c>
      <c r="I685" s="5" t="inlineStr">
        <is>
          <t>PF Calculator</t>
        </is>
      </c>
      <c r="J685" s="5" t="inlineStr">
        <is>
          <t>/career/pf-calculator</t>
        </is>
      </c>
      <c r="K685" s="5" t="inlineStr">
        <is>
          <t>Step-by-step instructions on submitting online Joint Declaration requests backed by Aadhaar and employer approval to fix biographical errors.</t>
        </is>
      </c>
      <c r="L685" s="4" t="inlineStr">
        <is>
          <t>YES</t>
        </is>
      </c>
      <c r="M685" s="4" t="inlineStr">
        <is>
          <t>HIGH</t>
        </is>
      </c>
      <c r="N685" s="4" t="inlineStr">
        <is>
          <t>READY</t>
        </is>
      </c>
      <c r="O685" s="5" t="inlineStr"/>
      <c r="P685" s="5" t="inlineStr"/>
      <c r="Q685" s="5" t="inlineStr"/>
      <c r="R685" s="5" t="inlineStr"/>
    </row>
    <row r="686" ht="20" customHeight="1">
      <c r="A686" s="2" t="inlineStr">
        <is>
          <t>ST685</t>
        </is>
      </c>
      <c r="B686" s="3" t="inlineStr">
        <is>
          <t>Why Delaying PF Withdrawal After Leaving a Job Is Often the Best Financial Move</t>
        </is>
      </c>
      <c r="C686" s="2" t="inlineStr">
        <is>
          <t>Career</t>
        </is>
      </c>
      <c r="D686" s="3" t="inlineStr">
        <is>
          <t>PF</t>
        </is>
      </c>
      <c r="E686" s="2" t="inlineStr">
        <is>
          <t>Guide</t>
        </is>
      </c>
      <c r="F686" s="2" t="inlineStr">
        <is>
          <t>Planning</t>
        </is>
      </c>
      <c r="G686" s="3" t="inlineStr">
        <is>
          <t>why you should not withdraw pf after leaving job</t>
        </is>
      </c>
      <c r="H686" s="3" t="inlineStr">
        <is>
          <t>pf as emergency fund, compound interest in epf, tax benefits of transferring pf</t>
        </is>
      </c>
      <c r="I686" s="3" t="inlineStr">
        <is>
          <t>PF Calculator</t>
        </is>
      </c>
      <c r="J686" s="3" t="inlineStr">
        <is>
          <t>/career/pf-calculator</t>
        </is>
      </c>
      <c r="K686" s="3" t="inlineStr">
        <is>
          <t>Explain the compounding advantage: transferring PF preserves continuous service history towards the 5-year tax-free milestone and maintains high sovereign returns.</t>
        </is>
      </c>
      <c r="L686" s="2" t="inlineStr">
        <is>
          <t>YES</t>
        </is>
      </c>
      <c r="M686" s="2" t="inlineStr">
        <is>
          <t>HIGH</t>
        </is>
      </c>
      <c r="N686" s="2" t="inlineStr">
        <is>
          <t>READY</t>
        </is>
      </c>
      <c r="O686" s="3" t="inlineStr"/>
      <c r="P686" s="3" t="inlineStr"/>
      <c r="Q686" s="3" t="inlineStr"/>
      <c r="R686" s="3" t="inlineStr"/>
    </row>
    <row r="687" ht="20" customHeight="1">
      <c r="A687" s="4" t="inlineStr">
        <is>
          <t>ST686</t>
        </is>
      </c>
      <c r="B687" s="5" t="inlineStr">
        <is>
          <t>How to Calculate PF for International Workers in India and Indian Expats Abroad</t>
        </is>
      </c>
      <c r="C687" s="4" t="inlineStr">
        <is>
          <t>Career</t>
        </is>
      </c>
      <c r="D687" s="5" t="inlineStr">
        <is>
          <t>PF</t>
        </is>
      </c>
      <c r="E687" s="4" t="inlineStr">
        <is>
          <t>Guide</t>
        </is>
      </c>
      <c r="F687" s="4" t="inlineStr">
        <is>
          <t>Reference</t>
        </is>
      </c>
      <c r="G687" s="5" t="inlineStr">
        <is>
          <t>epf rules for international workers</t>
        </is>
      </c>
      <c r="H687" s="5" t="inlineStr">
        <is>
          <t>social security agreement ssa certificate of coverage, expat pf deduction, bilateral ssa countries</t>
        </is>
      </c>
      <c r="I687" s="5" t="inlineStr">
        <is>
          <t>PF Calculator</t>
        </is>
      </c>
      <c r="J687" s="5" t="inlineStr">
        <is>
          <t>/career/pf-calculator</t>
        </is>
      </c>
      <c r="K687" s="5" t="inlineStr">
        <is>
          <t>Detail social security agreements (SSAs) with countries like Germany, France, Japan, and how Certificate of Coverage (CoC) prevents double deductions.</t>
        </is>
      </c>
      <c r="L687" s="4" t="inlineStr">
        <is>
          <t>YES</t>
        </is>
      </c>
      <c r="M687" s="4" t="inlineStr">
        <is>
          <t>LOW</t>
        </is>
      </c>
      <c r="N687" s="4" t="inlineStr">
        <is>
          <t>READY</t>
        </is>
      </c>
      <c r="O687" s="5" t="inlineStr"/>
      <c r="P687" s="5" t="inlineStr"/>
      <c r="Q687" s="5" t="inlineStr"/>
      <c r="R687" s="5" t="inlineStr"/>
    </row>
    <row r="688" ht="20" customHeight="1">
      <c r="A688" s="2" t="inlineStr">
        <is>
          <t>ST687</t>
        </is>
      </c>
      <c r="B688" s="3" t="inlineStr">
        <is>
          <t>What Happens to Your EPF and EPS When You Switch from India to a Foreign Entity?</t>
        </is>
      </c>
      <c r="C688" s="2" t="inlineStr">
        <is>
          <t>Career</t>
        </is>
      </c>
      <c r="D688" s="3" t="inlineStr">
        <is>
          <t>PF</t>
        </is>
      </c>
      <c r="E688" s="2" t="inlineStr">
        <is>
          <t>Explanation</t>
        </is>
      </c>
      <c r="F688" s="2" t="inlineStr">
        <is>
          <t>Informational</t>
        </is>
      </c>
      <c r="G688" s="3" t="inlineStr">
        <is>
          <t>pf account when moving abroad permanently</t>
        </is>
      </c>
      <c r="H688" s="3" t="inlineStr">
        <is>
          <t>withdrawing pf on settlement abroad, epf rules for nri, closing pf account emigrating</t>
        </is>
      </c>
      <c r="I688" s="3" t="inlineStr">
        <is>
          <t>PF Calculator</t>
        </is>
      </c>
      <c r="J688" s="3" t="inlineStr">
        <is>
          <t>/career/pf-calculator</t>
        </is>
      </c>
      <c r="K688" s="3" t="inlineStr">
        <is>
          <t>Explain settlement rules: non-resident Indians (NRIs) can withdraw accumulated PF balances under specific foreign settlement grounds.</t>
        </is>
      </c>
      <c r="L688" s="2" t="inlineStr">
        <is>
          <t>YES</t>
        </is>
      </c>
      <c r="M688" s="2" t="inlineStr">
        <is>
          <t>MEDIUM</t>
        </is>
      </c>
      <c r="N688" s="2" t="inlineStr">
        <is>
          <t>READY</t>
        </is>
      </c>
      <c r="O688" s="3" t="inlineStr"/>
      <c r="P688" s="3" t="inlineStr"/>
      <c r="Q688" s="3" t="inlineStr"/>
      <c r="R688" s="3" t="inlineStr"/>
    </row>
    <row r="689" ht="20" customHeight="1">
      <c r="A689" s="4" t="inlineStr">
        <is>
          <t>ST688</t>
        </is>
      </c>
      <c r="B689" s="5" t="inlineStr">
        <is>
          <t>How EPFO Handles Overlapping Service Dates Across Two Employers</t>
        </is>
      </c>
      <c r="C689" s="4" t="inlineStr">
        <is>
          <t>Career</t>
        </is>
      </c>
      <c r="D689" s="5" t="inlineStr">
        <is>
          <t>PF</t>
        </is>
      </c>
      <c r="E689" s="4" t="inlineStr">
        <is>
          <t>Guide</t>
        </is>
      </c>
      <c r="F689" s="4" t="inlineStr">
        <is>
          <t>How-To</t>
        </is>
      </c>
      <c r="G689" s="5" t="inlineStr">
        <is>
          <t>overlapping service in epfo uan</t>
        </is>
      </c>
      <c r="H689" s="5" t="inlineStr">
        <is>
          <t>dual employment epf issue, overlapping exit date and joining date pf, resolving date of exit error</t>
        </is>
      </c>
      <c r="I689" s="5" t="inlineStr">
        <is>
          <t>PF Calculator</t>
        </is>
      </c>
      <c r="J689" s="5" t="inlineStr">
        <is>
          <t>/career/pf-calculator</t>
        </is>
      </c>
      <c r="K689" s="5" t="inlineStr">
        <is>
          <t>Detail how date-of-exit discrepancies arise during notice periods, and how to file online requests with previous employers to correct overlap flags.</t>
        </is>
      </c>
      <c r="L689" s="4" t="inlineStr">
        <is>
          <t>YES</t>
        </is>
      </c>
      <c r="M689" s="4" t="inlineStr">
        <is>
          <t>MEDIUM</t>
        </is>
      </c>
      <c r="N689" s="4" t="inlineStr">
        <is>
          <t>READY</t>
        </is>
      </c>
      <c r="O689" s="5" t="inlineStr"/>
      <c r="P689" s="5" t="inlineStr"/>
      <c r="Q689" s="5" t="inlineStr"/>
      <c r="R689" s="5" t="inlineStr"/>
    </row>
    <row r="690" ht="20" customHeight="1">
      <c r="A690" s="2" t="inlineStr">
        <is>
          <t>ST689</t>
        </is>
      </c>
      <c r="B690" s="3" t="inlineStr">
        <is>
          <t>Comparing EPF with PPF (Public Provident Fund): Which One Gives Better Wealth Growth?</t>
        </is>
      </c>
      <c r="C690" s="2" t="inlineStr">
        <is>
          <t>Career</t>
        </is>
      </c>
      <c r="D690" s="3" t="inlineStr">
        <is>
          <t>PF</t>
        </is>
      </c>
      <c r="E690" s="2" t="inlineStr">
        <is>
          <t>Comparison</t>
        </is>
      </c>
      <c r="F690" s="2" t="inlineStr">
        <is>
          <t>Comparison</t>
        </is>
      </c>
      <c r="G690" s="3" t="inlineStr">
        <is>
          <t>epf vs ppf comparison</t>
        </is>
      </c>
      <c r="H690" s="3" t="inlineStr">
        <is>
          <t>difference between epf and ppf, which is better epf or ppf, interest rate epf vs ppf</t>
        </is>
      </c>
      <c r="I690" s="3" t="inlineStr">
        <is>
          <t>PF Calculator</t>
        </is>
      </c>
      <c r="J690" s="3" t="inlineStr">
        <is>
          <t>/career/pf-calculator</t>
        </is>
      </c>
      <c r="K690" s="3" t="inlineStr">
        <is>
          <t>Contrast EPF (mandatory for salaried, 8.15%+ interest, employer match) with PPF (open to all, 7.1% interest, 15-year lock-in, sovereign EEE tax status).</t>
        </is>
      </c>
      <c r="L690" s="2" t="inlineStr">
        <is>
          <t>YES</t>
        </is>
      </c>
      <c r="M690" s="2" t="inlineStr">
        <is>
          <t>HIGH</t>
        </is>
      </c>
      <c r="N690" s="2" t="inlineStr">
        <is>
          <t>READY</t>
        </is>
      </c>
      <c r="O690" s="3" t="inlineStr"/>
      <c r="P690" s="3" t="inlineStr"/>
      <c r="Q690" s="3" t="inlineStr"/>
      <c r="R690" s="3" t="inlineStr"/>
    </row>
    <row r="691" ht="20" customHeight="1">
      <c r="A691" s="4" t="inlineStr">
        <is>
          <t>ST690</t>
        </is>
      </c>
      <c r="B691" s="5" t="inlineStr">
        <is>
          <t>How to File an Online Grievance with EPFiGMS for Delayed PF Settlement</t>
        </is>
      </c>
      <c r="C691" s="4" t="inlineStr">
        <is>
          <t>Career</t>
        </is>
      </c>
      <c r="D691" s="5" t="inlineStr">
        <is>
          <t>PF</t>
        </is>
      </c>
      <c r="E691" s="4" t="inlineStr">
        <is>
          <t>Guide</t>
        </is>
      </c>
      <c r="F691" s="4" t="inlineStr">
        <is>
          <t>How-To</t>
        </is>
      </c>
      <c r="G691" s="5" t="inlineStr">
        <is>
          <t>how to file complaint on epfigms</t>
        </is>
      </c>
      <c r="H691" s="5" t="inlineStr">
        <is>
          <t>epfo grievance portal, delayed pf withdrawal complaint, tracking epfo grievance status</t>
        </is>
      </c>
      <c r="I691" s="5" t="inlineStr">
        <is>
          <t>PF Calculator</t>
        </is>
      </c>
      <c r="J691" s="5" t="inlineStr">
        <is>
          <t>/career/pf-calculator</t>
        </is>
      </c>
      <c r="K691" s="5" t="inlineStr">
        <is>
          <t>Walkthrough of registering complaints on EPFiGMS (EPFO Internet Grievance Management System) with UAN and escalation protocols.</t>
        </is>
      </c>
      <c r="L691" s="4" t="inlineStr">
        <is>
          <t>YES</t>
        </is>
      </c>
      <c r="M691" s="4" t="inlineStr">
        <is>
          <t>MEDIUM</t>
        </is>
      </c>
      <c r="N691" s="4" t="inlineStr">
        <is>
          <t>READY</t>
        </is>
      </c>
      <c r="O691" s="5" t="inlineStr"/>
      <c r="P691" s="5" t="inlineStr"/>
      <c r="Q691" s="5" t="inlineStr"/>
      <c r="R691" s="5" t="inlineStr"/>
    </row>
    <row r="692" ht="20" customHeight="1">
      <c r="A692" s="2" t="inlineStr">
        <is>
          <t>ST691</t>
        </is>
      </c>
      <c r="B692" s="3" t="inlineStr">
        <is>
          <t>How to Calculate TDS on PF Withdrawal When Form 15G / 15H Is Submitted</t>
        </is>
      </c>
      <c r="C692" s="2" t="inlineStr">
        <is>
          <t>Career</t>
        </is>
      </c>
      <c r="D692" s="3" t="inlineStr">
        <is>
          <t>PF</t>
        </is>
      </c>
      <c r="E692" s="2" t="inlineStr">
        <is>
          <t>How-To</t>
        </is>
      </c>
      <c r="F692" s="2" t="inlineStr">
        <is>
          <t>How-To</t>
        </is>
      </c>
      <c r="G692" s="3" t="inlineStr">
        <is>
          <t>how form 15g saves tax on pf withdrawal</t>
        </is>
      </c>
      <c r="H692" s="3" t="inlineStr">
        <is>
          <t>form 15g for epf withdrawal, zero tds on pf withdrawal, section 197a exemption</t>
        </is>
      </c>
      <c r="I692" s="3" t="inlineStr">
        <is>
          <t>PF Calculator</t>
        </is>
      </c>
      <c r="J692" s="3" t="inlineStr">
        <is>
          <t>/career/pf-calculator</t>
        </is>
      </c>
      <c r="K692" s="3" t="inlineStr">
        <is>
          <t>Explain eligibility: if total income including PF withdrawal is below basic tax exemption limit, submitting Form 15G prevents the mandatory 10% TDS deduction.</t>
        </is>
      </c>
      <c r="L692" s="2" t="inlineStr">
        <is>
          <t>YES</t>
        </is>
      </c>
      <c r="M692" s="2" t="inlineStr">
        <is>
          <t>HIGH</t>
        </is>
      </c>
      <c r="N692" s="2" t="inlineStr">
        <is>
          <t>READY</t>
        </is>
      </c>
      <c r="O692" s="3" t="inlineStr"/>
      <c r="P692" s="3" t="inlineStr"/>
      <c r="Q692" s="3" t="inlineStr"/>
      <c r="R692" s="3" t="inlineStr"/>
    </row>
    <row r="693" ht="20" customHeight="1">
      <c r="A693" s="4" t="inlineStr">
        <is>
          <t>ST692</t>
        </is>
      </c>
      <c r="B693" s="5" t="inlineStr">
        <is>
          <t>Understanding the 'Date of Exit' in EPFO: Why Your Previous HR Must Mark It</t>
        </is>
      </c>
      <c r="C693" s="4" t="inlineStr">
        <is>
          <t>Career</t>
        </is>
      </c>
      <c r="D693" s="5" t="inlineStr">
        <is>
          <t>PF</t>
        </is>
      </c>
      <c r="E693" s="4" t="inlineStr">
        <is>
          <t>Guide</t>
        </is>
      </c>
      <c r="F693" s="4" t="inlineStr">
        <is>
          <t>How-To</t>
        </is>
      </c>
      <c r="G693" s="5" t="inlineStr">
        <is>
          <t>how to update date of exit in uan without employer</t>
        </is>
      </c>
      <c r="H693" s="5" t="inlineStr">
        <is>
          <t>date of exit epfo online, why date of exit is required for pf transfer, mark exit date unified portal</t>
        </is>
      </c>
      <c r="I693" s="5" t="inlineStr">
        <is>
          <t>PF Calculator</t>
        </is>
      </c>
      <c r="J693" s="5" t="inlineStr">
        <is>
          <t>/career/pf-calculator</t>
        </is>
      </c>
      <c r="K693" s="5" t="inlineStr">
        <is>
          <t>Step-by-step guide enabling employees to mark their own Date of Exit on the Member Portal after 60 days of leaving without relying on unresponsive HR.</t>
        </is>
      </c>
      <c r="L693" s="4" t="inlineStr">
        <is>
          <t>YES</t>
        </is>
      </c>
      <c r="M693" s="4" t="inlineStr">
        <is>
          <t>HIGH</t>
        </is>
      </c>
      <c r="N693" s="4" t="inlineStr">
        <is>
          <t>READY</t>
        </is>
      </c>
      <c r="O693" s="5" t="inlineStr"/>
      <c r="P693" s="5" t="inlineStr"/>
      <c r="Q693" s="5" t="inlineStr"/>
      <c r="R693" s="5" t="inlineStr"/>
    </row>
    <row r="694" ht="20" customHeight="1">
      <c r="A694" s="2" t="inlineStr">
        <is>
          <t>ST693</t>
        </is>
      </c>
      <c r="B694" s="3" t="inlineStr">
        <is>
          <t>What Is the Maximum Amount You Can Accumulate in EPF Tax-Free?</t>
        </is>
      </c>
      <c r="C694" s="2" t="inlineStr">
        <is>
          <t>Career</t>
        </is>
      </c>
      <c r="D694" s="3" t="inlineStr">
        <is>
          <t>PF</t>
        </is>
      </c>
      <c r="E694" s="2" t="inlineStr">
        <is>
          <t>Explanation</t>
        </is>
      </c>
      <c r="F694" s="2" t="inlineStr">
        <is>
          <t>Educational</t>
        </is>
      </c>
      <c r="G694" s="3" t="inlineStr">
        <is>
          <t>maximum tax free pf limit</t>
        </is>
      </c>
      <c r="H694" s="3" t="inlineStr">
        <is>
          <t>pf annual limit for tax free interest, 2.5 lakh threshold calculation, high earner pf tax</t>
        </is>
      </c>
      <c r="I694" s="3" t="inlineStr">
        <is>
          <t>PF Calculator</t>
        </is>
      </c>
      <c r="J694" s="3" t="inlineStr">
        <is>
          <t>/career/pf-calculator</t>
        </is>
      </c>
      <c r="K694" s="3" t="inlineStr">
        <is>
          <t>Calculate the tipping point where employee contribution exceeds Rs 2.5 Lakh per year (Basic Pay around Rs 1,73,611/month) and tax applies to excess interest.</t>
        </is>
      </c>
      <c r="L694" s="2" t="inlineStr">
        <is>
          <t>YES</t>
        </is>
      </c>
      <c r="M694" s="2" t="inlineStr">
        <is>
          <t>HIGH</t>
        </is>
      </c>
      <c r="N694" s="2" t="inlineStr">
        <is>
          <t>READY</t>
        </is>
      </c>
      <c r="O694" s="3" t="inlineStr"/>
      <c r="P694" s="3" t="inlineStr"/>
      <c r="Q694" s="3" t="inlineStr"/>
      <c r="R694" s="3" t="inlineStr"/>
    </row>
    <row r="695" ht="20" customHeight="1">
      <c r="A695" s="4" t="inlineStr">
        <is>
          <t>ST694</t>
        </is>
      </c>
      <c r="B695" s="5" t="inlineStr">
        <is>
          <t>How Are Gratuity and Pension Calculated for Employees Under Contractual Service?</t>
        </is>
      </c>
      <c r="C695" s="4" t="inlineStr">
        <is>
          <t>Career</t>
        </is>
      </c>
      <c r="D695" s="5" t="inlineStr">
        <is>
          <t>PF</t>
        </is>
      </c>
      <c r="E695" s="4" t="inlineStr">
        <is>
          <t>Guide</t>
        </is>
      </c>
      <c r="F695" s="4" t="inlineStr">
        <is>
          <t>Reference</t>
        </is>
      </c>
      <c r="G695" s="5" t="inlineStr">
        <is>
          <t>fixed term employment gratuity rules</t>
        </is>
      </c>
      <c r="H695" s="5" t="inlineStr">
        <is>
          <t>contract employee pf and gratuity, gratuity for 1 year contract employee, fixed term employment benefits</t>
        </is>
      </c>
      <c r="I695" s="5" t="inlineStr">
        <is>
          <t>PF Calculator</t>
        </is>
      </c>
      <c r="J695" s="5" t="inlineStr">
        <is>
          <t>/career/pf-calculator</t>
        </is>
      </c>
      <c r="K695" s="5" t="inlineStr">
        <is>
          <t>Detail central government labour code updates granting pro-rata Gratuity to Fixed Term Employment (FTE) workers even for 1-year service tenures.</t>
        </is>
      </c>
      <c r="L695" s="4" t="inlineStr">
        <is>
          <t>YES</t>
        </is>
      </c>
      <c r="M695" s="4" t="inlineStr">
        <is>
          <t>MEDIUM</t>
        </is>
      </c>
      <c r="N695" s="4" t="inlineStr">
        <is>
          <t>READY</t>
        </is>
      </c>
      <c r="O695" s="5" t="inlineStr"/>
      <c r="P695" s="5" t="inlineStr"/>
      <c r="Q695" s="5" t="inlineStr"/>
      <c r="R695" s="5" t="inlineStr"/>
    </row>
    <row r="696" ht="20" customHeight="1">
      <c r="A696" s="2" t="inlineStr">
        <is>
          <t>ST695</t>
        </is>
      </c>
      <c r="B696" s="3" t="inlineStr">
        <is>
          <t>How to Calculate Your Retirement Pension If You Completed Less than 10 Years of Service</t>
        </is>
      </c>
      <c r="C696" s="2" t="inlineStr">
        <is>
          <t>Career</t>
        </is>
      </c>
      <c r="D696" s="3" t="inlineStr">
        <is>
          <t>PF</t>
        </is>
      </c>
      <c r="E696" s="2" t="inlineStr">
        <is>
          <t>Explanation</t>
        </is>
      </c>
      <c r="F696" s="2" t="inlineStr">
        <is>
          <t>Reference</t>
        </is>
      </c>
      <c r="G696" s="3" t="inlineStr">
        <is>
          <t>eps withdrawal scheme certificate less than 10 years</t>
        </is>
      </c>
      <c r="H696" s="3" t="inlineStr">
        <is>
          <t>eps withdrawal benefit table d, scheme certificate epfo, pension refund form 10c</t>
        </is>
      </c>
      <c r="I696" s="3" t="inlineStr">
        <is>
          <t>PF Calculator</t>
        </is>
      </c>
      <c r="J696" s="3" t="inlineStr">
        <is>
          <t>/career/pf-calculator</t>
        </is>
      </c>
      <c r="K696" s="3" t="inlineStr">
        <is>
          <t>Explain Table D withdrawal benefit: employees with less than 10 years cannot draw monthly pensions but receive a lump-sum refund via Form 10C.</t>
        </is>
      </c>
      <c r="L696" s="2" t="inlineStr">
        <is>
          <t>YES</t>
        </is>
      </c>
      <c r="M696" s="2" t="inlineStr">
        <is>
          <t>HIGH</t>
        </is>
      </c>
      <c r="N696" s="2" t="inlineStr">
        <is>
          <t>READY</t>
        </is>
      </c>
      <c r="O696" s="3" t="inlineStr"/>
      <c r="P696" s="3" t="inlineStr"/>
      <c r="Q696" s="3" t="inlineStr"/>
      <c r="R696" s="3" t="inlineStr"/>
    </row>
    <row r="697" ht="20" customHeight="1">
      <c r="A697" s="4" t="inlineStr">
        <is>
          <t>ST696</t>
        </is>
      </c>
      <c r="B697" s="5" t="inlineStr">
        <is>
          <t>How to Calculate EPF Interest During Years When Government Delays Interest Declaration</t>
        </is>
      </c>
      <c r="C697" s="4" t="inlineStr">
        <is>
          <t>Career</t>
        </is>
      </c>
      <c r="D697" s="5" t="inlineStr">
        <is>
          <t>PF</t>
        </is>
      </c>
      <c r="E697" s="4" t="inlineStr">
        <is>
          <t>Explanation</t>
        </is>
      </c>
      <c r="F697" s="4" t="inlineStr">
        <is>
          <t>Informational</t>
        </is>
      </c>
      <c r="G697" s="5" t="inlineStr">
        <is>
          <t>delayed epfo interest notification</t>
        </is>
      </c>
      <c r="H697" s="5" t="inlineStr">
        <is>
          <t>why is pf interest not credited yet, interest compounding during notification delay, retro credit of pf interest</t>
        </is>
      </c>
      <c r="I697" s="5" t="inlineStr">
        <is>
          <t>PF Calculator</t>
        </is>
      </c>
      <c r="J697" s="5" t="inlineStr">
        <is>
          <t>/career/pf-calculator</t>
        </is>
      </c>
      <c r="K697" s="5" t="inlineStr">
        <is>
          <t>Reassure employees that notification delays by Finance Ministry do not cause financial loss; interest compounds uninterrupted and credits retrospectively.</t>
        </is>
      </c>
      <c r="L697" s="4" t="inlineStr">
        <is>
          <t>YES</t>
        </is>
      </c>
      <c r="M697" s="4" t="inlineStr">
        <is>
          <t>LOW</t>
        </is>
      </c>
      <c r="N697" s="4" t="inlineStr">
        <is>
          <t>READY</t>
        </is>
      </c>
      <c r="O697" s="5" t="inlineStr"/>
      <c r="P697" s="5" t="inlineStr"/>
      <c r="Q697" s="5" t="inlineStr"/>
      <c r="R697" s="5" t="inlineStr"/>
    </row>
    <row r="698" ht="20" customHeight="1">
      <c r="A698" s="2" t="inlineStr">
        <is>
          <t>ST697</t>
        </is>
      </c>
      <c r="B698" s="3" t="inlineStr">
        <is>
          <t>The Math of Retiring Early: Can You Withdraw PF at Age 50 or 55?</t>
        </is>
      </c>
      <c r="C698" s="2" t="inlineStr">
        <is>
          <t>Career</t>
        </is>
      </c>
      <c r="D698" s="3" t="inlineStr">
        <is>
          <t>PF</t>
        </is>
      </c>
      <c r="E698" s="2" t="inlineStr">
        <is>
          <t>Guide</t>
        </is>
      </c>
      <c r="F698" s="2" t="inlineStr">
        <is>
          <t>Reference</t>
        </is>
      </c>
      <c r="G698" s="3" t="inlineStr">
        <is>
          <t>early pf withdrawal age rules</t>
        </is>
      </c>
      <c r="H698" s="3" t="inlineStr">
        <is>
          <t>withdrawing pf at 55, early retirement epfo pension, reduced pension age 50</t>
        </is>
      </c>
      <c r="I698" s="3" t="inlineStr">
        <is>
          <t>PF Calculator</t>
        </is>
      </c>
      <c r="J698" s="3" t="inlineStr">
        <is>
          <t>/career/pf-calculator</t>
        </is>
      </c>
      <c r="K698" s="3" t="inlineStr">
        <is>
          <t>Review early retirement rules: full PF withdrawal allowed at age 55 (after 1-year separation), and early EPS pension allowed from age 50 with 4% annual discount.</t>
        </is>
      </c>
      <c r="L698" s="2" t="inlineStr">
        <is>
          <t>YES</t>
        </is>
      </c>
      <c r="M698" s="2" t="inlineStr">
        <is>
          <t>HIGH</t>
        </is>
      </c>
      <c r="N698" s="2" t="inlineStr">
        <is>
          <t>READY</t>
        </is>
      </c>
      <c r="O698" s="3" t="inlineStr"/>
      <c r="P698" s="3" t="inlineStr"/>
      <c r="Q698" s="3" t="inlineStr"/>
      <c r="R698" s="3" t="inlineStr"/>
    </row>
    <row r="699" ht="20" customHeight="1">
      <c r="A699" s="4" t="inlineStr">
        <is>
          <t>ST698</t>
        </is>
      </c>
      <c r="B699" s="5" t="inlineStr">
        <is>
          <t>How to Add and Verify Bank Account and Aadhaar KYC in EPFO Portal Online</t>
        </is>
      </c>
      <c r="C699" s="4" t="inlineStr">
        <is>
          <t>Career</t>
        </is>
      </c>
      <c r="D699" s="5" t="inlineStr">
        <is>
          <t>PF</t>
        </is>
      </c>
      <c r="E699" s="4" t="inlineStr">
        <is>
          <t>How-To</t>
        </is>
      </c>
      <c r="F699" s="4" t="inlineStr">
        <is>
          <t>How-To</t>
        </is>
      </c>
      <c r="G699" s="5" t="inlineStr">
        <is>
          <t>how to update bank kyc in epfo portal</t>
        </is>
      </c>
      <c r="H699" s="5" t="inlineStr">
        <is>
          <t>epfo bank kyc approval process, digital signature kyc verification, fixing rejected kyc in uan</t>
        </is>
      </c>
      <c r="I699" s="5" t="inlineStr">
        <is>
          <t>PF Calculator</t>
        </is>
      </c>
      <c r="J699" s="5" t="inlineStr">
        <is>
          <t>/career/pf-calculator</t>
        </is>
      </c>
      <c r="K699" s="5" t="inlineStr">
        <is>
          <t>Step-by-step instructions on seeding bank account details, IFSC code verification, and tracking employer digital signature confirmation.</t>
        </is>
      </c>
      <c r="L699" s="4" t="inlineStr">
        <is>
          <t>YES</t>
        </is>
      </c>
      <c r="M699" s="4" t="inlineStr">
        <is>
          <t>HIGH</t>
        </is>
      </c>
      <c r="N699" s="4" t="inlineStr">
        <is>
          <t>READY</t>
        </is>
      </c>
      <c r="O699" s="5" t="inlineStr"/>
      <c r="P699" s="5" t="inlineStr"/>
      <c r="Q699" s="5" t="inlineStr"/>
      <c r="R699" s="5" t="inlineStr"/>
    </row>
    <row r="700" ht="20" customHeight="1">
      <c r="A700" s="2" t="inlineStr">
        <is>
          <t>ST699</t>
        </is>
      </c>
      <c r="B700" s="3" t="inlineStr">
        <is>
          <t>What Happens to Your PF Balance in the Event of an Employee's Death?</t>
        </is>
      </c>
      <c r="C700" s="2" t="inlineStr">
        <is>
          <t>Career</t>
        </is>
      </c>
      <c r="D700" s="3" t="inlineStr">
        <is>
          <t>PF</t>
        </is>
      </c>
      <c r="E700" s="2" t="inlineStr">
        <is>
          <t>Guide</t>
        </is>
      </c>
      <c r="F700" s="2" t="inlineStr">
        <is>
          <t>Reference</t>
        </is>
      </c>
      <c r="G700" s="3" t="inlineStr">
        <is>
          <t>epf death claim process for nominee</t>
        </is>
      </c>
      <c r="H700" s="3" t="inlineStr">
        <is>
          <t>form 20 pf death claim, edli insurance claim amount, form 10d family pension</t>
        </is>
      </c>
      <c r="I700" s="3" t="inlineStr">
        <is>
          <t>PF Calculator</t>
        </is>
      </c>
      <c r="J700" s="3" t="inlineStr">
        <is>
          <t>/career/pf-calculator</t>
        </is>
      </c>
      <c r="K700" s="3" t="inlineStr">
        <is>
          <t>Explain e-Nomination benefits, Form 20 (EPF refund), Form 10D (widow/children pension), and Form 5IF (EDLI life insurance up to Rs 7 Lakh).</t>
        </is>
      </c>
      <c r="L700" s="2" t="inlineStr">
        <is>
          <t>YES</t>
        </is>
      </c>
      <c r="M700" s="2" t="inlineStr">
        <is>
          <t>MEDIUM</t>
        </is>
      </c>
      <c r="N700" s="2" t="inlineStr">
        <is>
          <t>READY</t>
        </is>
      </c>
      <c r="O700" s="3" t="inlineStr"/>
      <c r="P700" s="3" t="inlineStr"/>
      <c r="Q700" s="3" t="inlineStr"/>
      <c r="R700" s="3" t="inlineStr"/>
    </row>
    <row r="701" ht="20" customHeight="1">
      <c r="A701" s="4" t="inlineStr">
        <is>
          <t>ST700</t>
        </is>
      </c>
      <c r="B701" s="5" t="inlineStr">
        <is>
          <t>Summary Guide: Key Formulas for EPF, EPS, EDLI, and Retirement Corpus Projections</t>
        </is>
      </c>
      <c r="C701" s="4" t="inlineStr">
        <is>
          <t>Career</t>
        </is>
      </c>
      <c r="D701" s="5" t="inlineStr">
        <is>
          <t>PF</t>
        </is>
      </c>
      <c r="E701" s="4" t="inlineStr">
        <is>
          <t>Formula Guide</t>
        </is>
      </c>
      <c r="F701" s="4" t="inlineStr">
        <is>
          <t>Reference</t>
        </is>
      </c>
      <c r="G701" s="5" t="inlineStr">
        <is>
          <t>provident fund formulas summary</t>
        </is>
      </c>
      <c r="H701" s="5" t="inlineStr">
        <is>
          <t>all epf formulas cheat sheet, epf eps calculation guide, pf interest calculation reference</t>
        </is>
      </c>
      <c r="I701" s="5" t="inlineStr">
        <is>
          <t>PF Calculator</t>
        </is>
      </c>
      <c r="J701" s="5" t="inlineStr">
        <is>
          <t>/career/pf-calculator</t>
        </is>
      </c>
      <c r="K701" s="5" t="inlineStr">
        <is>
          <t>Consolidated reference sheet detailing formulas, contribution splits, interest compounding rules, and tax thresholds for Indian Provident Fund.</t>
        </is>
      </c>
      <c r="L701" s="4" t="inlineStr">
        <is>
          <t>YES</t>
        </is>
      </c>
      <c r="M701" s="4" t="inlineStr">
        <is>
          <t>HIGH</t>
        </is>
      </c>
      <c r="N701" s="4" t="inlineStr">
        <is>
          <t>READY</t>
        </is>
      </c>
      <c r="O701" s="5" t="inlineStr"/>
      <c r="P701" s="5" t="inlineStr"/>
      <c r="Q701" s="5" t="inlineStr"/>
      <c r="R701" s="5" t="inlineStr"/>
    </row>
    <row r="702" ht="20" customHeight="1">
      <c r="A702" s="2" t="inlineStr">
        <is>
          <t>ST701</t>
        </is>
      </c>
      <c r="B702" s="3" t="inlineStr">
        <is>
          <t>How Performance Bonus Is Calculated in Indian Corporates: Target vs Achievement Multipliers</t>
        </is>
      </c>
      <c r="C702" s="2" t="inlineStr">
        <is>
          <t>Career</t>
        </is>
      </c>
      <c r="D702" s="3" t="inlineStr">
        <is>
          <t>Bonus</t>
        </is>
      </c>
      <c r="E702" s="2" t="inlineStr">
        <is>
          <t>Formula Guide</t>
        </is>
      </c>
      <c r="F702" s="2" t="inlineStr">
        <is>
          <t>How-To</t>
        </is>
      </c>
      <c r="G702" s="3" t="inlineStr">
        <is>
          <t>how performance bonus is calculated</t>
        </is>
      </c>
      <c r="H702" s="3" t="inlineStr">
        <is>
          <t>bonus calculation formula, company performance multiplier bonus, annual bonus calculation</t>
        </is>
      </c>
      <c r="I702" s="3" t="inlineStr">
        <is>
          <t>Bonus Calculator</t>
        </is>
      </c>
      <c r="J702" s="3" t="inlineStr">
        <is>
          <t>/career/bonus-calculator</t>
        </is>
      </c>
      <c r="K702" s="3" t="inlineStr">
        <is>
          <t>Formula: Bonus Payout = Target Bonus * Individual Rating Multiplier * Company Performance Multiplier. Provide worked numerical scenarios.</t>
        </is>
      </c>
      <c r="L702" s="2" t="inlineStr">
        <is>
          <t>YES</t>
        </is>
      </c>
      <c r="M702" s="2" t="inlineStr">
        <is>
          <t>HIGH</t>
        </is>
      </c>
      <c r="N702" s="2" t="inlineStr">
        <is>
          <t>READY</t>
        </is>
      </c>
      <c r="O702" s="3" t="inlineStr"/>
      <c r="P702" s="3" t="inlineStr"/>
      <c r="Q702" s="3" t="inlineStr"/>
      <c r="R702" s="3" t="inlineStr"/>
    </row>
    <row r="703" ht="20" customHeight="1">
      <c r="A703" s="4" t="inlineStr">
        <is>
          <t>ST702</t>
        </is>
      </c>
      <c r="B703" s="5" t="inlineStr">
        <is>
          <t>Why Bonus Payouts Suffer Heavy TDS Tax Deductions in the Month of Payment</t>
        </is>
      </c>
      <c r="C703" s="4" t="inlineStr">
        <is>
          <t>Career</t>
        </is>
      </c>
      <c r="D703" s="5" t="inlineStr">
        <is>
          <t>Bonus</t>
        </is>
      </c>
      <c r="E703" s="4" t="inlineStr">
        <is>
          <t>Explanation</t>
        </is>
      </c>
      <c r="F703" s="4" t="inlineStr">
        <is>
          <t>Educational</t>
        </is>
      </c>
      <c r="G703" s="5" t="inlineStr">
        <is>
          <t>why bonus is taxed heavily in salary slip</t>
        </is>
      </c>
      <c r="H703" s="5" t="inlineStr">
        <is>
          <t>bonus tds deduction formula, marginal tax rate on bonus, bonus tax deduction in india</t>
        </is>
      </c>
      <c r="I703" s="5" t="inlineStr">
        <is>
          <t>Bonus Calculator</t>
        </is>
      </c>
      <c r="J703" s="5" t="inlineStr">
        <is>
          <t>/career/bonus-calculator</t>
        </is>
      </c>
      <c r="K703" s="5" t="inlineStr">
        <is>
          <t>Explain how payroll engines compute annual tax projections: receiving a Rs 2 Lakh bonus in March pushes marginal earnings into the 30% slab, deducting Rs 60k+ immediately.</t>
        </is>
      </c>
      <c r="L703" s="4" t="inlineStr">
        <is>
          <t>YES</t>
        </is>
      </c>
      <c r="M703" s="4" t="inlineStr">
        <is>
          <t>HIGH</t>
        </is>
      </c>
      <c r="N703" s="4" t="inlineStr">
        <is>
          <t>READY</t>
        </is>
      </c>
      <c r="O703" s="5" t="inlineStr"/>
      <c r="P703" s="5" t="inlineStr"/>
      <c r="Q703" s="5" t="inlineStr"/>
      <c r="R703" s="5" t="inlineStr"/>
    </row>
    <row r="704" ht="20" customHeight="1">
      <c r="A704" s="2" t="inlineStr">
        <is>
          <t>ST703</t>
        </is>
      </c>
      <c r="B704" s="3" t="inlineStr">
        <is>
          <t>Statutory Bonus Under Payment of Bonus Act 1965: Minimum 8.33% and Maximum 20% Rules</t>
        </is>
      </c>
      <c r="C704" s="2" t="inlineStr">
        <is>
          <t>Career</t>
        </is>
      </c>
      <c r="D704" s="3" t="inlineStr">
        <is>
          <t>Bonus</t>
        </is>
      </c>
      <c r="E704" s="2" t="inlineStr">
        <is>
          <t>Guide</t>
        </is>
      </c>
      <c r="F704" s="2" t="inlineStr">
        <is>
          <t>Reference</t>
        </is>
      </c>
      <c r="G704" s="3" t="inlineStr">
        <is>
          <t>payment of bonus act 1965 calculation</t>
        </is>
      </c>
      <c r="H704" s="3" t="inlineStr">
        <is>
          <t>statutory bonus eligibility india, 8.33 percent minimum bonus formula, wage ceiling for statutory bonus</t>
        </is>
      </c>
      <c r="I704" s="3" t="inlineStr">
        <is>
          <t>Bonus Calculator</t>
        </is>
      </c>
      <c r="J704" s="3" t="inlineStr">
        <is>
          <t>/career/bonus-calculator</t>
        </is>
      </c>
      <c r="K704" s="3" t="inlineStr">
        <is>
          <t>Explain the statutory framework for factory and commercial workers earning up to Rs 21,000 basic wage, calculating minimum (8.33%) and maximum (20%) payouts.</t>
        </is>
      </c>
      <c r="L704" s="2" t="inlineStr">
        <is>
          <t>YES</t>
        </is>
      </c>
      <c r="M704" s="2" t="inlineStr">
        <is>
          <t>HIGH</t>
        </is>
      </c>
      <c r="N704" s="2" t="inlineStr">
        <is>
          <t>READY</t>
        </is>
      </c>
      <c r="O704" s="3" t="inlineStr"/>
      <c r="P704" s="3" t="inlineStr"/>
      <c r="Q704" s="3" t="inlineStr"/>
      <c r="R704" s="3" t="inlineStr"/>
    </row>
    <row r="705" ht="20" customHeight="1">
      <c r="A705" s="4" t="inlineStr">
        <is>
          <t>ST704</t>
        </is>
      </c>
      <c r="B705" s="5" t="inlineStr">
        <is>
          <t>How to Calculate In-Hand Bonus After Income Tax Deductions</t>
        </is>
      </c>
      <c r="C705" s="4" t="inlineStr">
        <is>
          <t>Career</t>
        </is>
      </c>
      <c r="D705" s="5" t="inlineStr">
        <is>
          <t>Bonus</t>
        </is>
      </c>
      <c r="E705" s="4" t="inlineStr">
        <is>
          <t>How-To</t>
        </is>
      </c>
      <c r="F705" s="4" t="inlineStr">
        <is>
          <t>How-To</t>
        </is>
      </c>
      <c r="G705" s="5" t="inlineStr">
        <is>
          <t>how to calculate in hand bonus after tax</t>
        </is>
      </c>
      <c r="H705" s="5" t="inlineStr">
        <is>
          <t>net bonus calculator, bonus tax deduction calculation, formula for net bonus payout</t>
        </is>
      </c>
      <c r="I705" s="5" t="inlineStr">
        <is>
          <t>Bonus Calculator</t>
        </is>
      </c>
      <c r="J705" s="5" t="inlineStr">
        <is>
          <t>/career/bonus-calculator</t>
        </is>
      </c>
      <c r="K705" s="5" t="inlineStr">
        <is>
          <t>Formula: Net Bonus = Gross Bonus * (1 - Marginal Tax Rate). Provide clear tables comparing net payouts for employees in 5%, 10%, 15%, 20%, and 30% brackets.</t>
        </is>
      </c>
      <c r="L705" s="4" t="inlineStr">
        <is>
          <t>YES</t>
        </is>
      </c>
      <c r="M705" s="4" t="inlineStr">
        <is>
          <t>HIGH</t>
        </is>
      </c>
      <c r="N705" s="4" t="inlineStr">
        <is>
          <t>READY</t>
        </is>
      </c>
      <c r="O705" s="5" t="inlineStr"/>
      <c r="P705" s="5" t="inlineStr"/>
      <c r="Q705" s="5" t="inlineStr"/>
      <c r="R705" s="5" t="inlineStr"/>
    </row>
    <row r="706" ht="20" customHeight="1">
      <c r="A706" s="2" t="inlineStr">
        <is>
          <t>ST705</t>
        </is>
      </c>
      <c r="B706" s="3" t="inlineStr">
        <is>
          <t>Diwali Bonus and Festive Ex-Gratia: Taxation and Corporate Payout Practices</t>
        </is>
      </c>
      <c r="C706" s="2" t="inlineStr">
        <is>
          <t>Career</t>
        </is>
      </c>
      <c r="D706" s="3" t="inlineStr">
        <is>
          <t>Bonus</t>
        </is>
      </c>
      <c r="E706" s="2" t="inlineStr">
        <is>
          <t>Guide</t>
        </is>
      </c>
      <c r="F706" s="2" t="inlineStr">
        <is>
          <t>Informational</t>
        </is>
      </c>
      <c r="G706" s="3" t="inlineStr">
        <is>
          <t>is diwali bonus taxable in india</t>
        </is>
      </c>
      <c r="H706" s="3" t="inlineStr">
        <is>
          <t>festive bonus rules corporate, ex gratia payment taxation, diwali bonus calculation</t>
        </is>
      </c>
      <c r="I706" s="3" t="inlineStr">
        <is>
          <t>Bonus Calculator</t>
        </is>
      </c>
      <c r="J706" s="3" t="inlineStr">
        <is>
          <t>/career/bonus-calculator</t>
        </is>
      </c>
      <c r="K706" s="3" t="inlineStr">
        <is>
          <t>Clarify the tax status: unlike gifts up to Rs 5,000 from non-employers, any festive monetary bonus paid by an employer is 100% taxable as salary income.</t>
        </is>
      </c>
      <c r="L706" s="2" t="inlineStr">
        <is>
          <t>YES</t>
        </is>
      </c>
      <c r="M706" s="2" t="inlineStr">
        <is>
          <t>MEDIUM</t>
        </is>
      </c>
      <c r="N706" s="2" t="inlineStr">
        <is>
          <t>READY</t>
        </is>
      </c>
      <c r="O706" s="3" t="inlineStr"/>
      <c r="P706" s="3" t="inlineStr"/>
      <c r="Q706" s="3" t="inlineStr"/>
      <c r="R706" s="3" t="inlineStr"/>
    </row>
    <row r="707" ht="20" customHeight="1">
      <c r="A707" s="4" t="inlineStr">
        <is>
          <t>ST706</t>
        </is>
      </c>
      <c r="B707" s="5" t="inlineStr">
        <is>
          <t>Sign-On Bonus vs Retention Bonus vs Performance Bonus: Comparison and Tax Rules</t>
        </is>
      </c>
      <c r="C707" s="4" t="inlineStr">
        <is>
          <t>Career</t>
        </is>
      </c>
      <c r="D707" s="5" t="inlineStr">
        <is>
          <t>Bonus</t>
        </is>
      </c>
      <c r="E707" s="4" t="inlineStr">
        <is>
          <t>Comparison</t>
        </is>
      </c>
      <c r="F707" s="4" t="inlineStr">
        <is>
          <t>Comparison</t>
        </is>
      </c>
      <c r="G707" s="5" t="inlineStr">
        <is>
          <t>difference between sign on and performance bonus</t>
        </is>
      </c>
      <c r="H707" s="5" t="inlineStr">
        <is>
          <t>retention vs joining bonus, corporate bonus types compared, clawback rules bonus</t>
        </is>
      </c>
      <c r="I707" s="5" t="inlineStr">
        <is>
          <t>Bonus Calculator</t>
        </is>
      </c>
      <c r="J707" s="5" t="inlineStr">
        <is>
          <t>/career/bonus-calculator</t>
        </is>
      </c>
      <c r="K707" s="5" t="inlineStr">
        <is>
          <t>Comprehensive comparison of corporate incentive structures: timing, vesting conditions, performance contingencies, and clawback liabilities.</t>
        </is>
      </c>
      <c r="L707" s="4" t="inlineStr">
        <is>
          <t>YES</t>
        </is>
      </c>
      <c r="M707" s="4" t="inlineStr">
        <is>
          <t>HIGH</t>
        </is>
      </c>
      <c r="N707" s="4" t="inlineStr">
        <is>
          <t>READY</t>
        </is>
      </c>
      <c r="O707" s="5" t="inlineStr"/>
      <c r="P707" s="5" t="inlineStr"/>
      <c r="Q707" s="5" t="inlineStr"/>
      <c r="R707" s="5" t="inlineStr"/>
    </row>
    <row r="708" ht="20" customHeight="1">
      <c r="A708" s="2" t="inlineStr">
        <is>
          <t>ST707</t>
        </is>
      </c>
      <c r="B708" s="3" t="inlineStr">
        <is>
          <t>What Happens to Your Annual Bonus If You Resign Before the Payout Date?</t>
        </is>
      </c>
      <c r="C708" s="2" t="inlineStr">
        <is>
          <t>Career</t>
        </is>
      </c>
      <c r="D708" s="3" t="inlineStr">
        <is>
          <t>Bonus</t>
        </is>
      </c>
      <c r="E708" s="2" t="inlineStr">
        <is>
          <t>Explanation</t>
        </is>
      </c>
      <c r="F708" s="2" t="inlineStr">
        <is>
          <t>Reference</t>
        </is>
      </c>
      <c r="G708" s="3" t="inlineStr">
        <is>
          <t>do you get bonus if you resign before payout</t>
        </is>
      </c>
      <c r="H708" s="3" t="inlineStr">
        <is>
          <t>bonus eligibility on resignation, active employment clause bonus, company policy on resigning before bonus</t>
        </is>
      </c>
      <c r="I708" s="3" t="inlineStr">
        <is>
          <t>Bonus Calculator</t>
        </is>
      </c>
      <c r="J708" s="3" t="inlineStr">
        <is>
          <t>/career/bonus-calculator</t>
        </is>
      </c>
      <c r="K708" s="3" t="inlineStr">
        <is>
          <t>Examine the standard 'active employment on payout date' contractual clause that forfeits earned annual incentives if notice is served prematurely.</t>
        </is>
      </c>
      <c r="L708" s="2" t="inlineStr">
        <is>
          <t>YES</t>
        </is>
      </c>
      <c r="M708" s="2" t="inlineStr">
        <is>
          <t>HIGH</t>
        </is>
      </c>
      <c r="N708" s="2" t="inlineStr">
        <is>
          <t>READY</t>
        </is>
      </c>
      <c r="O708" s="3" t="inlineStr"/>
      <c r="P708" s="3" t="inlineStr"/>
      <c r="Q708" s="3" t="inlineStr"/>
      <c r="R708" s="3" t="inlineStr"/>
    </row>
    <row r="709" ht="20" customHeight="1">
      <c r="A709" s="4" t="inlineStr">
        <is>
          <t>ST708</t>
        </is>
      </c>
      <c r="B709" s="5" t="inlineStr">
        <is>
          <t>How to Negotiate a Guaranteed Bonus in Your Executive Employment Contract</t>
        </is>
      </c>
      <c r="C709" s="4" t="inlineStr">
        <is>
          <t>Career</t>
        </is>
      </c>
      <c r="D709" s="5" t="inlineStr">
        <is>
          <t>Bonus</t>
        </is>
      </c>
      <c r="E709" s="4" t="inlineStr">
        <is>
          <t>Guide</t>
        </is>
      </c>
      <c r="F709" s="4" t="inlineStr">
        <is>
          <t>Planning</t>
        </is>
      </c>
      <c r="G709" s="5" t="inlineStr">
        <is>
          <t>how to negotiate guaranteed bonus</t>
        </is>
      </c>
      <c r="H709" s="5" t="inlineStr">
        <is>
          <t>guaranteed vs discretionary bonus, executive compensation negotiation, sign on bonus negotiation</t>
        </is>
      </c>
      <c r="I709" s="5" t="inlineStr">
        <is>
          <t>Bonus Calculator</t>
        </is>
      </c>
      <c r="J709" s="5" t="inlineStr">
        <is>
          <t>/career/bonus-calculator</t>
        </is>
      </c>
      <c r="K709" s="5" t="inlineStr">
        <is>
          <t>Advise senior hires on converting ambiguous discretionary bonus pools into contractually guaranteed performance milestones or sign-on payouts.</t>
        </is>
      </c>
      <c r="L709" s="4" t="inlineStr">
        <is>
          <t>YES</t>
        </is>
      </c>
      <c r="M709" s="4" t="inlineStr">
        <is>
          <t>HIGH</t>
        </is>
      </c>
      <c r="N709" s="4" t="inlineStr">
        <is>
          <t>READY</t>
        </is>
      </c>
      <c r="O709" s="5" t="inlineStr"/>
      <c r="P709" s="5" t="inlineStr"/>
      <c r="Q709" s="5" t="inlineStr"/>
      <c r="R709" s="5" t="inlineStr"/>
    </row>
    <row r="710" ht="20" customHeight="1">
      <c r="A710" s="2" t="inlineStr">
        <is>
          <t>ST709</t>
        </is>
      </c>
      <c r="B710" s="3" t="inlineStr">
        <is>
          <t>Calculating Bonus for Mid-Year Joiners: The Pro-Rata Bonus Formula</t>
        </is>
      </c>
      <c r="C710" s="2" t="inlineStr">
        <is>
          <t>Career</t>
        </is>
      </c>
      <c r="D710" s="3" t="inlineStr">
        <is>
          <t>Bonus</t>
        </is>
      </c>
      <c r="E710" s="2" t="inlineStr">
        <is>
          <t>Formula Guide</t>
        </is>
      </c>
      <c r="F710" s="2" t="inlineStr">
        <is>
          <t>How-To</t>
        </is>
      </c>
      <c r="G710" s="3" t="inlineStr">
        <is>
          <t>pro rata bonus calculation formula</t>
        </is>
      </c>
      <c r="H710" s="3" t="inlineStr">
        <is>
          <t>bonus calculation for mid year joining, fractional bonus calculation, prorated annual bonus</t>
        </is>
      </c>
      <c r="I710" s="3" t="inlineStr">
        <is>
          <t>Bonus Calculator</t>
        </is>
      </c>
      <c r="J710" s="3" t="inlineStr">
        <is>
          <t>/career/bonus-calculator</t>
        </is>
      </c>
      <c r="K710" s="3" t="inlineStr">
        <is>
          <t>Formula: Pro-Rata Bonus = Full Annual Bonus * (Months Served in Financial Year / 12). Provide worked case studies for Q2 and Q3 lateral hires.</t>
        </is>
      </c>
      <c r="L710" s="2" t="inlineStr">
        <is>
          <t>YES</t>
        </is>
      </c>
      <c r="M710" s="2" t="inlineStr">
        <is>
          <t>HIGH</t>
        </is>
      </c>
      <c r="N710" s="2" t="inlineStr">
        <is>
          <t>READY</t>
        </is>
      </c>
      <c r="O710" s="3" t="inlineStr"/>
      <c r="P710" s="3" t="inlineStr"/>
      <c r="Q710" s="3" t="inlineStr"/>
      <c r="R710" s="3" t="inlineStr"/>
    </row>
    <row r="711" ht="20" customHeight="1">
      <c r="A711" s="4" t="inlineStr">
        <is>
          <t>ST710</t>
        </is>
      </c>
      <c r="B711" s="5" t="inlineStr">
        <is>
          <t>How Spot Awards and Quarterly Incentives Are Processed in Monthly Payroll</t>
        </is>
      </c>
      <c r="C711" s="4" t="inlineStr">
        <is>
          <t>Career</t>
        </is>
      </c>
      <c r="D711" s="5" t="inlineStr">
        <is>
          <t>Bonus</t>
        </is>
      </c>
      <c r="E711" s="4" t="inlineStr">
        <is>
          <t>Guide</t>
        </is>
      </c>
      <c r="F711" s="4" t="inlineStr">
        <is>
          <t>How-To</t>
        </is>
      </c>
      <c r="G711" s="5" t="inlineStr">
        <is>
          <t>how spot awards are taxed in salary</t>
        </is>
      </c>
      <c r="H711" s="5" t="inlineStr">
        <is>
          <t>quarterly incentive calculation, spot award tax deduction, processing incentive in payslip</t>
        </is>
      </c>
      <c r="I711" s="5" t="inlineStr">
        <is>
          <t>Bonus Calculator</t>
        </is>
      </c>
      <c r="J711" s="5" t="inlineStr">
        <is>
          <t>/career/bonus-calculator</t>
        </is>
      </c>
      <c r="K711" s="5" t="inlineStr">
        <is>
          <t>Explain how micro-incentives (Spot, Bravo, Key Contributor awards) are treated as regular taxable allowances in the month of disbursement.</t>
        </is>
      </c>
      <c r="L711" s="4" t="inlineStr">
        <is>
          <t>YES</t>
        </is>
      </c>
      <c r="M711" s="4" t="inlineStr">
        <is>
          <t>MEDIUM</t>
        </is>
      </c>
      <c r="N711" s="4" t="inlineStr">
        <is>
          <t>READY</t>
        </is>
      </c>
      <c r="O711" s="5" t="inlineStr"/>
      <c r="P711" s="5" t="inlineStr"/>
      <c r="Q711" s="5" t="inlineStr"/>
      <c r="R711" s="5" t="inlineStr"/>
    </row>
    <row r="712" ht="20" customHeight="1">
      <c r="A712" s="2" t="inlineStr">
        <is>
          <t>ST711</t>
        </is>
      </c>
      <c r="B712" s="3" t="inlineStr">
        <is>
          <t>Can Employers Deduct Negative Performance from Your Fixed Salary?</t>
        </is>
      </c>
      <c r="C712" s="2" t="inlineStr">
        <is>
          <t>Career</t>
        </is>
      </c>
      <c r="D712" s="3" t="inlineStr">
        <is>
          <t>Bonus</t>
        </is>
      </c>
      <c r="E712" s="2" t="inlineStr">
        <is>
          <t>Explanation</t>
        </is>
      </c>
      <c r="F712" s="2" t="inlineStr">
        <is>
          <t>Educational</t>
        </is>
      </c>
      <c r="G712" s="3" t="inlineStr">
        <is>
          <t>can company deduct salary for poor performance</t>
        </is>
      </c>
      <c r="H712" s="3" t="inlineStr">
        <is>
          <t>salary deduction poor performance legal india, payment of wages act salary deduction rules, zero bonus vs salary cut</t>
        </is>
      </c>
      <c r="I712" s="3" t="inlineStr">
        <is>
          <t>Bonus Calculator</t>
        </is>
      </c>
      <c r="J712" s="3" t="inlineStr">
        <is>
          <t>/career/bonus-calculator</t>
        </is>
      </c>
      <c r="K712" s="3" t="inlineStr">
        <is>
          <t>Explain legal protections under the Payment of Wages Act: employers can withhold discretionary bonuses but cannot unilaterally reduce contracted basic wages.</t>
        </is>
      </c>
      <c r="L712" s="2" t="inlineStr">
        <is>
          <t>YES</t>
        </is>
      </c>
      <c r="M712" s="2" t="inlineStr">
        <is>
          <t>HIGH</t>
        </is>
      </c>
      <c r="N712" s="2" t="inlineStr">
        <is>
          <t>READY</t>
        </is>
      </c>
      <c r="O712" s="3" t="inlineStr"/>
      <c r="P712" s="3" t="inlineStr"/>
      <c r="Q712" s="3" t="inlineStr"/>
      <c r="R712" s="3" t="inlineStr"/>
    </row>
    <row r="713" ht="20" customHeight="1">
      <c r="A713" s="4" t="inlineStr">
        <is>
          <t>ST712</t>
        </is>
      </c>
      <c r="B713" s="5" t="inlineStr">
        <is>
          <t>How Sales Commission and Revenue Share Bonuses Are Calculated in India</t>
        </is>
      </c>
      <c r="C713" s="4" t="inlineStr">
        <is>
          <t>Career</t>
        </is>
      </c>
      <c r="D713" s="5" t="inlineStr">
        <is>
          <t>Bonus</t>
        </is>
      </c>
      <c r="E713" s="4" t="inlineStr">
        <is>
          <t>Guide</t>
        </is>
      </c>
      <c r="F713" s="4" t="inlineStr">
        <is>
          <t>How-To</t>
        </is>
      </c>
      <c r="G713" s="5" t="inlineStr">
        <is>
          <t>how sales commission is calculated</t>
        </is>
      </c>
      <c r="H713" s="5" t="inlineStr">
        <is>
          <t>sales incentive slab calculation, revenue share bonus formula, tiered commission structure</t>
        </is>
      </c>
      <c r="I713" s="5" t="inlineStr">
        <is>
          <t>Bonus Calculator</t>
        </is>
      </c>
      <c r="J713" s="5" t="inlineStr">
        <is>
          <t>/career/bonus-calculator</t>
        </is>
      </c>
      <c r="K713" s="5" t="inlineStr">
        <is>
          <t>Detail accelerated quota slabs: 5% up to 100% quota attainment, jumping to 10% or 15% on accelerator revenue beyond target.</t>
        </is>
      </c>
      <c r="L713" s="4" t="inlineStr">
        <is>
          <t>YES</t>
        </is>
      </c>
      <c r="M713" s="4" t="inlineStr">
        <is>
          <t>MEDIUM</t>
        </is>
      </c>
      <c r="N713" s="4" t="inlineStr">
        <is>
          <t>READY</t>
        </is>
      </c>
      <c r="O713" s="5" t="inlineStr"/>
      <c r="P713" s="5" t="inlineStr"/>
      <c r="Q713" s="5" t="inlineStr"/>
      <c r="R713" s="5" t="inlineStr"/>
    </row>
    <row r="714" ht="20" customHeight="1">
      <c r="A714" s="2" t="inlineStr">
        <is>
          <t>ST713</t>
        </is>
      </c>
      <c r="B714" s="3" t="inlineStr">
        <is>
          <t>The Psychological Trap of Lifestyle Inflation When Receiving an Annual Bonus</t>
        </is>
      </c>
      <c r="C714" s="2" t="inlineStr">
        <is>
          <t>Career</t>
        </is>
      </c>
      <c r="D714" s="3" t="inlineStr">
        <is>
          <t>Bonus</t>
        </is>
      </c>
      <c r="E714" s="2" t="inlineStr">
        <is>
          <t>Guide</t>
        </is>
      </c>
      <c r="F714" s="2" t="inlineStr">
        <is>
          <t>Planning</t>
        </is>
      </c>
      <c r="G714" s="3" t="inlineStr">
        <is>
          <t>how to invest annual bonus wisely</t>
        </is>
      </c>
      <c r="H714" s="3" t="inlineStr">
        <is>
          <t>lifestyle inflation bonus, financial planning annual bonus, debt prepayment using bonus</t>
        </is>
      </c>
      <c r="I714" s="3" t="inlineStr">
        <is>
          <t>Bonus Calculator</t>
        </is>
      </c>
      <c r="J714" s="3" t="inlineStr">
        <is>
          <t>/career/bonus-calculator</t>
        </is>
      </c>
      <c r="K714" s="3" t="inlineStr">
        <is>
          <t>Practical financial blueprint: allocating 50% to high-interest debt/investments, 30% to emergency buffers, and 20% to personal leisure.</t>
        </is>
      </c>
      <c r="L714" s="2" t="inlineStr">
        <is>
          <t>YES</t>
        </is>
      </c>
      <c r="M714" s="2" t="inlineStr">
        <is>
          <t>MEDIUM</t>
        </is>
      </c>
      <c r="N714" s="2" t="inlineStr">
        <is>
          <t>READY</t>
        </is>
      </c>
      <c r="O714" s="3" t="inlineStr"/>
      <c r="P714" s="3" t="inlineStr"/>
      <c r="Q714" s="3" t="inlineStr"/>
      <c r="R714" s="3" t="inlineStr"/>
    </row>
    <row r="715" ht="20" customHeight="1">
      <c r="A715" s="4" t="inlineStr">
        <is>
          <t>ST714</t>
        </is>
      </c>
      <c r="B715" s="5" t="inlineStr">
        <is>
          <t>How to Calculate Advance Tax on Substantial Bonus Payments to Avoid Section 234 Penalties</t>
        </is>
      </c>
      <c r="C715" s="4" t="inlineStr">
        <is>
          <t>Career</t>
        </is>
      </c>
      <c r="D715" s="5" t="inlineStr">
        <is>
          <t>Bonus</t>
        </is>
      </c>
      <c r="E715" s="4" t="inlineStr">
        <is>
          <t>Guide</t>
        </is>
      </c>
      <c r="F715" s="4" t="inlineStr">
        <is>
          <t>Reference</t>
        </is>
      </c>
      <c r="G715" s="5" t="inlineStr">
        <is>
          <t>advance tax on bonus payment</t>
        </is>
      </c>
      <c r="H715" s="5" t="inlineStr">
        <is>
          <t>section 234b and 234c penalty bonus, paying advance tax on unexpected bonus, tax interest penalty</t>
        </is>
      </c>
      <c r="I715" s="5" t="inlineStr">
        <is>
          <t>Bonus Calculator</t>
        </is>
      </c>
      <c r="J715" s="5" t="inlineStr">
        <is>
          <t>/career/bonus-calculator</t>
        </is>
      </c>
      <c r="K715" s="5" t="inlineStr">
        <is>
          <t>Explain advance tax deadlines (June 15, Sept 15, Dec 15, March 15) and how sudden Q4 bonuses can trigger interest penalties under Sections 234B/234C if TDS is delayed.</t>
        </is>
      </c>
      <c r="L715" s="4" t="inlineStr">
        <is>
          <t>YES</t>
        </is>
      </c>
      <c r="M715" s="4" t="inlineStr">
        <is>
          <t>HIGH</t>
        </is>
      </c>
      <c r="N715" s="4" t="inlineStr">
        <is>
          <t>READY</t>
        </is>
      </c>
      <c r="O715" s="5" t="inlineStr"/>
      <c r="P715" s="5" t="inlineStr"/>
      <c r="Q715" s="5" t="inlineStr"/>
      <c r="R715" s="5" t="inlineStr"/>
    </row>
    <row r="716" ht="20" customHeight="1">
      <c r="A716" s="2" t="inlineStr">
        <is>
          <t>ST715</t>
        </is>
      </c>
      <c r="B716" s="3" t="inlineStr">
        <is>
          <t>Summary Guide: Essential Formulas for Bonus, Incentives, and Net Payouts</t>
        </is>
      </c>
      <c r="C716" s="2" t="inlineStr">
        <is>
          <t>Career</t>
        </is>
      </c>
      <c r="D716" s="3" t="inlineStr">
        <is>
          <t>Bonus</t>
        </is>
      </c>
      <c r="E716" s="2" t="inlineStr">
        <is>
          <t>Formula Guide</t>
        </is>
      </c>
      <c r="F716" s="2" t="inlineStr">
        <is>
          <t>Reference</t>
        </is>
      </c>
      <c r="G716" s="3" t="inlineStr">
        <is>
          <t>bonus calculation formulas summary</t>
        </is>
      </c>
      <c r="H716" s="3" t="inlineStr">
        <is>
          <t>all bonus formulas cheat sheet, statutory and performance bonus reference, net bonus math</t>
        </is>
      </c>
      <c r="I716" s="3" t="inlineStr">
        <is>
          <t>Bonus Calculator</t>
        </is>
      </c>
      <c r="J716" s="3" t="inlineStr">
        <is>
          <t>/career/bonus-calculator</t>
        </is>
      </c>
      <c r="K716" s="3" t="inlineStr">
        <is>
          <t>Consolidated reference sheet covering Target Bonus, Performance Multipliers, Pro-Rata formulas, Statutory 8.33% ceilings, and Net Post-TDS equations.</t>
        </is>
      </c>
      <c r="L716" s="2" t="inlineStr">
        <is>
          <t>YES</t>
        </is>
      </c>
      <c r="M716" s="2" t="inlineStr">
        <is>
          <t>HIGH</t>
        </is>
      </c>
      <c r="N716" s="2" t="inlineStr">
        <is>
          <t>READY</t>
        </is>
      </c>
      <c r="O716" s="3" t="inlineStr"/>
      <c r="P716" s="3" t="inlineStr"/>
      <c r="Q716" s="3" t="inlineStr"/>
      <c r="R716" s="3" t="inlineStr"/>
    </row>
    <row r="717" ht="20" customHeight="1">
      <c r="A717" s="4" t="inlineStr">
        <is>
          <t>ST716</t>
        </is>
      </c>
      <c r="B717" s="5" t="inlineStr">
        <is>
          <t>How to Calculate Total Internship Earnings from Monthly, Weekly, or Hourly Stipend</t>
        </is>
      </c>
      <c r="C717" s="4" t="inlineStr">
        <is>
          <t>Career</t>
        </is>
      </c>
      <c r="D717" s="5" t="inlineStr">
        <is>
          <t>Internship</t>
        </is>
      </c>
      <c r="E717" s="4" t="inlineStr">
        <is>
          <t>Formula Guide</t>
        </is>
      </c>
      <c r="F717" s="4" t="inlineStr">
        <is>
          <t>How-To</t>
        </is>
      </c>
      <c r="G717" s="5" t="inlineStr">
        <is>
          <t>how to calculate internship stipend</t>
        </is>
      </c>
      <c r="H717" s="5" t="inlineStr">
        <is>
          <t>internship stipend calculator, total intern earnings formula, summer internship pay calculation</t>
        </is>
      </c>
      <c r="I717" s="5" t="inlineStr">
        <is>
          <t>Internship Stipend Calculator</t>
        </is>
      </c>
      <c r="J717" s="5" t="inlineStr">
        <is>
          <t>/career/internship-stipend</t>
        </is>
      </c>
      <c r="K717" s="5" t="inlineStr">
        <is>
          <t>Provide conversion formulas across 2-month summer internships and 6-month final-semester co-ops, showing total cumulative cash earned.</t>
        </is>
      </c>
      <c r="L717" s="4" t="inlineStr">
        <is>
          <t>YES</t>
        </is>
      </c>
      <c r="M717" s="4" t="inlineStr">
        <is>
          <t>HIGH</t>
        </is>
      </c>
      <c r="N717" s="4" t="inlineStr">
        <is>
          <t>READY</t>
        </is>
      </c>
      <c r="O717" s="5" t="inlineStr"/>
      <c r="P717" s="5" t="inlineStr"/>
      <c r="Q717" s="5" t="inlineStr"/>
      <c r="R717" s="5" t="inlineStr"/>
    </row>
    <row r="718" ht="20" customHeight="1">
      <c r="A718" s="2" t="inlineStr">
        <is>
          <t>ST717</t>
        </is>
      </c>
      <c r="B718" s="3" t="inlineStr">
        <is>
          <t>Is Internship Stipend Taxable in India? Complete Income Tax and Section 10(16) Guide</t>
        </is>
      </c>
      <c r="C718" s="2" t="inlineStr">
        <is>
          <t>Career</t>
        </is>
      </c>
      <c r="D718" s="3" t="inlineStr">
        <is>
          <t>Internship</t>
        </is>
      </c>
      <c r="E718" s="2" t="inlineStr">
        <is>
          <t>Guide</t>
        </is>
      </c>
      <c r="F718" s="2" t="inlineStr">
        <is>
          <t>Reference</t>
        </is>
      </c>
      <c r="G718" s="3" t="inlineStr">
        <is>
          <t>is internship stipend taxable in india</t>
        </is>
      </c>
      <c r="H718" s="3" t="inlineStr">
        <is>
          <t>section 10 16 scholarship exemption, tax on intern stipend, tds on stipend payment</t>
        </is>
      </c>
      <c r="I718" s="3" t="inlineStr">
        <is>
          <t>Internship Stipend Calculator</t>
        </is>
      </c>
      <c r="J718" s="3" t="inlineStr">
        <is>
          <t>/career/internship-stipend</t>
        </is>
      </c>
      <c r="K718" s="3" t="inlineStr">
        <is>
          <t>Analyze income tax rules: genuine educational scholarships under Section 10(16) are fully exempt, whereas corporate intern pay for services rendered is taxable if total annual income exceeds the basic exemption slab.</t>
        </is>
      </c>
      <c r="L718" s="2" t="inlineStr">
        <is>
          <t>YES</t>
        </is>
      </c>
      <c r="M718" s="2" t="inlineStr">
        <is>
          <t>HIGH</t>
        </is>
      </c>
      <c r="N718" s="2" t="inlineStr">
        <is>
          <t>READY</t>
        </is>
      </c>
      <c r="O718" s="3" t="inlineStr"/>
      <c r="P718" s="3" t="inlineStr"/>
      <c r="Q718" s="3" t="inlineStr"/>
      <c r="R718" s="3" t="inlineStr"/>
    </row>
    <row r="719" ht="20" customHeight="1">
      <c r="A719" s="4" t="inlineStr">
        <is>
          <t>ST718</t>
        </is>
      </c>
      <c r="B719" s="5" t="inlineStr">
        <is>
          <t>Average Internship Stipend in India: Software Engineering vs Consulting vs Marketing</t>
        </is>
      </c>
      <c r="C719" s="4" t="inlineStr">
        <is>
          <t>Career</t>
        </is>
      </c>
      <c r="D719" s="5" t="inlineStr">
        <is>
          <t>Internship</t>
        </is>
      </c>
      <c r="E719" s="4" t="inlineStr">
        <is>
          <t>Guide</t>
        </is>
      </c>
      <c r="F719" s="4" t="inlineStr">
        <is>
          <t>Informational</t>
        </is>
      </c>
      <c r="G719" s="5" t="inlineStr">
        <is>
          <t>average internship stipend in india</t>
        </is>
      </c>
      <c r="H719" s="5" t="inlineStr">
        <is>
          <t>engineering intern stipend benchmark, top product company intern pay, startup stipend expectations</t>
        </is>
      </c>
      <c r="I719" s="5" t="inlineStr">
        <is>
          <t>Internship Stipend Calculator</t>
        </is>
      </c>
      <c r="J719" s="5" t="inlineStr">
        <is>
          <t>/career/internship-stipend</t>
        </is>
      </c>
      <c r="K719" s="5" t="inlineStr">
        <is>
          <t>Benchmark current industry stipend brackets: Startups (Rs 15k-30k/mo), Mid-Tier (Rs 35k-50k/mo), Tier-1 Product/FAANG (Rs 80k-1.5L/mo).</t>
        </is>
      </c>
      <c r="L719" s="4" t="inlineStr">
        <is>
          <t>YES</t>
        </is>
      </c>
      <c r="M719" s="4" t="inlineStr">
        <is>
          <t>HIGH</t>
        </is>
      </c>
      <c r="N719" s="4" t="inlineStr">
        <is>
          <t>READY</t>
        </is>
      </c>
      <c r="O719" s="5" t="inlineStr"/>
      <c r="P719" s="5" t="inlineStr"/>
      <c r="Q719" s="5" t="inlineStr"/>
      <c r="R719" s="5" t="inlineStr"/>
    </row>
    <row r="720" ht="20" customHeight="1">
      <c r="A720" s="2" t="inlineStr">
        <is>
          <t>ST719</t>
        </is>
      </c>
      <c r="B720" s="3" t="inlineStr">
        <is>
          <t>How to Convert Hourly Intern Stipend to Equivalent Monthly Full-Time Pay</t>
        </is>
      </c>
      <c r="C720" s="2" t="inlineStr">
        <is>
          <t>Career</t>
        </is>
      </c>
      <c r="D720" s="3" t="inlineStr">
        <is>
          <t>Internship</t>
        </is>
      </c>
      <c r="E720" s="2" t="inlineStr">
        <is>
          <t>How-To</t>
        </is>
      </c>
      <c r="F720" s="2" t="inlineStr">
        <is>
          <t>How-To</t>
        </is>
      </c>
      <c r="G720" s="3" t="inlineStr">
        <is>
          <t>hourly stipend to monthly salary conversion</t>
        </is>
      </c>
      <c r="H720" s="3" t="inlineStr">
        <is>
          <t>intern hourly wage calculation, 40 hours per week intern pay, hourly rate to monthly stipend</t>
        </is>
      </c>
      <c r="I720" s="3" t="inlineStr">
        <is>
          <t>Internship Stipend Calculator</t>
        </is>
      </c>
      <c r="J720" s="3" t="inlineStr">
        <is>
          <t>/career/internship-stipend</t>
        </is>
      </c>
      <c r="K720" s="3" t="inlineStr">
        <is>
          <t>Formula: Hourly Rate * Weekly Hours * 4.333. Walk through 20-hour part-time vs 40-hour full-time summer internship models.</t>
        </is>
      </c>
      <c r="L720" s="2" t="inlineStr">
        <is>
          <t>YES</t>
        </is>
      </c>
      <c r="M720" s="2" t="inlineStr">
        <is>
          <t>HIGH</t>
        </is>
      </c>
      <c r="N720" s="2" t="inlineStr">
        <is>
          <t>READY</t>
        </is>
      </c>
      <c r="O720" s="3" t="inlineStr"/>
      <c r="P720" s="3" t="inlineStr"/>
      <c r="Q720" s="3" t="inlineStr"/>
      <c r="R720" s="3" t="inlineStr"/>
    </row>
    <row r="721" ht="20" customHeight="1">
      <c r="A721" s="4" t="inlineStr">
        <is>
          <t>ST720</t>
        </is>
      </c>
      <c r="B721" s="5" t="inlineStr">
        <is>
          <t>Are Interns Eligible for Provident Fund (EPF) and Gratuity in India?</t>
        </is>
      </c>
      <c r="C721" s="4" t="inlineStr">
        <is>
          <t>Career</t>
        </is>
      </c>
      <c r="D721" s="5" t="inlineStr">
        <is>
          <t>Internship</t>
        </is>
      </c>
      <c r="E721" s="4" t="inlineStr">
        <is>
          <t>Explanation</t>
        </is>
      </c>
      <c r="F721" s="4" t="inlineStr">
        <is>
          <t>Reference</t>
        </is>
      </c>
      <c r="G721" s="5" t="inlineStr">
        <is>
          <t>are interns eligible for pf in india</t>
        </is>
      </c>
      <c r="H721" s="5" t="inlineStr">
        <is>
          <t>epf applicability for interns, apprentice act stipend rules, pf deduction from intern stipend</t>
        </is>
      </c>
      <c r="I721" s="5" t="inlineStr">
        <is>
          <t>Internship Stipend Calculator</t>
        </is>
      </c>
      <c r="J721" s="5" t="inlineStr">
        <is>
          <t>/career/internship-stipend</t>
        </is>
      </c>
      <c r="K721" s="5" t="inlineStr">
        <is>
          <t>Explain statutory exemptions: bona fide students undergoing training under the Apprentices Act or college internships are legally exempt from mandatory EPF and ESI deductions.</t>
        </is>
      </c>
      <c r="L721" s="4" t="inlineStr">
        <is>
          <t>YES</t>
        </is>
      </c>
      <c r="M721" s="4" t="inlineStr">
        <is>
          <t>HIGH</t>
        </is>
      </c>
      <c r="N721" s="4" t="inlineStr">
        <is>
          <t>READY</t>
        </is>
      </c>
      <c r="O721" s="5" t="inlineStr"/>
      <c r="P721" s="5" t="inlineStr"/>
      <c r="Q721" s="5" t="inlineStr"/>
      <c r="R721" s="5" t="inlineStr"/>
    </row>
    <row r="722" ht="20" customHeight="1">
      <c r="A722" s="2" t="inlineStr">
        <is>
          <t>ST721</t>
        </is>
      </c>
      <c r="B722" s="3" t="inlineStr">
        <is>
          <t>TDS on Stipend: Section 194J vs Section 192 (Professional Fees vs Salary)</t>
        </is>
      </c>
      <c r="C722" s="2" t="inlineStr">
        <is>
          <t>Career</t>
        </is>
      </c>
      <c r="D722" s="3" t="inlineStr">
        <is>
          <t>Internship</t>
        </is>
      </c>
      <c r="E722" s="2" t="inlineStr">
        <is>
          <t>Explanation</t>
        </is>
      </c>
      <c r="F722" s="2" t="inlineStr">
        <is>
          <t>Reference</t>
        </is>
      </c>
      <c r="G722" s="3" t="inlineStr">
        <is>
          <t>tds deduction on intern stipend</t>
        </is>
      </c>
      <c r="H722" s="3" t="inlineStr">
        <is>
          <t>section 194j 10 percent tds stipend, form 16 vs form 16a intern, getting refund on intern tds</t>
        </is>
      </c>
      <c r="I722" s="3" t="inlineStr">
        <is>
          <t>Internship Stipend Calculator</t>
        </is>
      </c>
      <c r="J722" s="3" t="inlineStr">
        <is>
          <t>/career/internship-stipend</t>
        </is>
      </c>
      <c r="K722" s="3" t="inlineStr">
        <is>
          <t>Explain why companies often deduct 10% TDS under Section 194J (professional fees), and how students with zero total tax liability can file ITR-1 to get a 100% tax refund.</t>
        </is>
      </c>
      <c r="L722" s="2" t="inlineStr">
        <is>
          <t>YES</t>
        </is>
      </c>
      <c r="M722" s="2" t="inlineStr">
        <is>
          <t>HIGH</t>
        </is>
      </c>
      <c r="N722" s="2" t="inlineStr">
        <is>
          <t>READY</t>
        </is>
      </c>
      <c r="O722" s="3" t="inlineStr"/>
      <c r="P722" s="3" t="inlineStr"/>
      <c r="Q722" s="3" t="inlineStr"/>
      <c r="R722" s="3" t="inlineStr"/>
    </row>
    <row r="723" ht="20" customHeight="1">
      <c r="A723" s="4" t="inlineStr">
        <is>
          <t>ST722</t>
        </is>
      </c>
      <c r="B723" s="5" t="inlineStr">
        <is>
          <t>How to Budget Living Expenses in Metro Cities on a Monthly Internship Stipend</t>
        </is>
      </c>
      <c r="C723" s="4" t="inlineStr">
        <is>
          <t>Career</t>
        </is>
      </c>
      <c r="D723" s="5" t="inlineStr">
        <is>
          <t>Internship</t>
        </is>
      </c>
      <c r="E723" s="4" t="inlineStr">
        <is>
          <t>Planning Guide</t>
        </is>
      </c>
      <c r="F723" s="4" t="inlineStr">
        <is>
          <t>Planning</t>
        </is>
      </c>
      <c r="G723" s="5" t="inlineStr">
        <is>
          <t>how to manage expenses during summer internship</t>
        </is>
      </c>
      <c r="H723" s="5" t="inlineStr">
        <is>
          <t>budgeting stipend in bangalore hyderabad, pg rent vs intern stipend, living on stipend</t>
        </is>
      </c>
      <c r="I723" s="5" t="inlineStr">
        <is>
          <t>Internship Stipend Calculator</t>
        </is>
      </c>
      <c r="J723" s="5" t="inlineStr">
        <is>
          <t>/career/internship-stipend</t>
        </is>
      </c>
      <c r="K723" s="5" t="inlineStr">
        <is>
          <t>Create a practical 2-month summer living budget: PG rent, daily food, commute passes, and calculating net savings from a Rs 25,000-50,000 stipend.</t>
        </is>
      </c>
      <c r="L723" s="4" t="inlineStr">
        <is>
          <t>YES</t>
        </is>
      </c>
      <c r="M723" s="4" t="inlineStr">
        <is>
          <t>HIGH</t>
        </is>
      </c>
      <c r="N723" s="4" t="inlineStr">
        <is>
          <t>READY</t>
        </is>
      </c>
      <c r="O723" s="5" t="inlineStr"/>
      <c r="P723" s="5" t="inlineStr"/>
      <c r="Q723" s="5" t="inlineStr"/>
      <c r="R723" s="5" t="inlineStr"/>
    </row>
    <row r="724" ht="20" customHeight="1">
      <c r="A724" s="2" t="inlineStr">
        <is>
          <t>ST723</t>
        </is>
      </c>
      <c r="B724" s="3" t="inlineStr">
        <is>
          <t>Stipend vs Pre-Placement Offer (PPO): How to Evaluate Full-Time CTC from Intern Pay</t>
        </is>
      </c>
      <c r="C724" s="2" t="inlineStr">
        <is>
          <t>Career</t>
        </is>
      </c>
      <c r="D724" s="3" t="inlineStr">
        <is>
          <t>Internship</t>
        </is>
      </c>
      <c r="E724" s="2" t="inlineStr">
        <is>
          <t>Comparison</t>
        </is>
      </c>
      <c r="F724" s="2" t="inlineStr">
        <is>
          <t>Planning</t>
        </is>
      </c>
      <c r="G724" s="3" t="inlineStr">
        <is>
          <t>ppo offer letter after internship</t>
        </is>
      </c>
      <c r="H724" s="3" t="inlineStr">
        <is>
          <t>converting internship into full time job, intern stipend to ctc ratio, evaluating ppo ctc</t>
        </is>
      </c>
      <c r="I724" s="3" t="inlineStr">
        <is>
          <t>Internship Stipend Calculator</t>
        </is>
      </c>
      <c r="J724" s="3" t="inlineStr">
        <is>
          <t>/career/internship-stipend</t>
        </is>
      </c>
      <c r="K724" s="3" t="inlineStr">
        <is>
          <t>Examine the typical multiplier: a company paying Rs 60k/month stipend typically offers a 12-16 LPA full-time package upon successful conversion.</t>
        </is>
      </c>
      <c r="L724" s="2" t="inlineStr">
        <is>
          <t>YES</t>
        </is>
      </c>
      <c r="M724" s="2" t="inlineStr">
        <is>
          <t>HIGH</t>
        </is>
      </c>
      <c r="N724" s="2" t="inlineStr">
        <is>
          <t>READY</t>
        </is>
      </c>
      <c r="O724" s="3" t="inlineStr"/>
      <c r="P724" s="3" t="inlineStr"/>
      <c r="Q724" s="3" t="inlineStr"/>
      <c r="R724" s="3" t="inlineStr"/>
    </row>
    <row r="725" ht="20" customHeight="1">
      <c r="A725" s="4" t="inlineStr">
        <is>
          <t>ST724</t>
        </is>
      </c>
      <c r="B725" s="5" t="inlineStr">
        <is>
          <t>Unpaid Internships in India: Legal Guidelines, Educational Value, and Red Flags</t>
        </is>
      </c>
      <c r="C725" s="4" t="inlineStr">
        <is>
          <t>Career</t>
        </is>
      </c>
      <c r="D725" s="5" t="inlineStr">
        <is>
          <t>Internship</t>
        </is>
      </c>
      <c r="E725" s="4" t="inlineStr">
        <is>
          <t>Guide</t>
        </is>
      </c>
      <c r="F725" s="4" t="inlineStr">
        <is>
          <t>Informational</t>
        </is>
      </c>
      <c r="G725" s="5" t="inlineStr">
        <is>
          <t>are unpaid internships legal in india</t>
        </is>
      </c>
      <c r="H725" s="5" t="inlineStr">
        <is>
          <t>unpaid internship rules, red flags unpaid training, when is unpaid internship acceptable</t>
        </is>
      </c>
      <c r="I725" s="5" t="inlineStr">
        <is>
          <t>Internship Stipend Calculator</t>
        </is>
      </c>
      <c r="J725" s="5" t="inlineStr">
        <is>
          <t>/career/internship-stipend</t>
        </is>
      </c>
      <c r="K725" s="5" t="inlineStr">
        <is>
          <t>Examine labour guidelines, research and NGO exceptions, corporate exploitation red flags, and when students should decline unpaid labor.</t>
        </is>
      </c>
      <c r="L725" s="4" t="inlineStr">
        <is>
          <t>YES</t>
        </is>
      </c>
      <c r="M725" s="4" t="inlineStr">
        <is>
          <t>MEDIUM</t>
        </is>
      </c>
      <c r="N725" s="4" t="inlineStr">
        <is>
          <t>READY</t>
        </is>
      </c>
      <c r="O725" s="5" t="inlineStr"/>
      <c r="P725" s="5" t="inlineStr"/>
      <c r="Q725" s="5" t="inlineStr"/>
      <c r="R725" s="5" t="inlineStr"/>
    </row>
    <row r="726" ht="20" customHeight="1">
      <c r="A726" s="2" t="inlineStr">
        <is>
          <t>ST725</t>
        </is>
      </c>
      <c r="B726" s="3" t="inlineStr">
        <is>
          <t>Summary Guide: How to Calculate Cumulative Internship Compensation and Tax Refunds</t>
        </is>
      </c>
      <c r="C726" s="2" t="inlineStr">
        <is>
          <t>Career</t>
        </is>
      </c>
      <c r="D726" s="3" t="inlineStr">
        <is>
          <t>Internship</t>
        </is>
      </c>
      <c r="E726" s="2" t="inlineStr">
        <is>
          <t>Guide</t>
        </is>
      </c>
      <c r="F726" s="2" t="inlineStr">
        <is>
          <t>Reference</t>
        </is>
      </c>
      <c r="G726" s="3" t="inlineStr">
        <is>
          <t>internship compensation and tax guide</t>
        </is>
      </c>
      <c r="H726" s="3" t="inlineStr">
        <is>
          <t>complete intern stipend checklist, filing itr for intern stipend, internship pay summary</t>
        </is>
      </c>
      <c r="I726" s="3" t="inlineStr">
        <is>
          <t>Internship Stipend Calculator</t>
        </is>
      </c>
      <c r="J726" s="3" t="inlineStr">
        <is>
          <t>/career/internship-stipend</t>
        </is>
      </c>
      <c r="K726" s="3" t="inlineStr">
        <is>
          <t>Consolidated reference sheet covering duration math, hourly-to-monthly multipliers, tax exemption criteria under Section 10(16), and ITR refund procedures.</t>
        </is>
      </c>
      <c r="L726" s="2" t="inlineStr">
        <is>
          <t>YES</t>
        </is>
      </c>
      <c r="M726" s="2" t="inlineStr">
        <is>
          <t>HIGH</t>
        </is>
      </c>
      <c r="N726" s="2" t="inlineStr">
        <is>
          <t>READY</t>
        </is>
      </c>
      <c r="O726" s="3" t="inlineStr"/>
      <c r="P726" s="3" t="inlineStr"/>
      <c r="Q726" s="3" t="inlineStr"/>
      <c r="R726" s="3" t="inlineStr"/>
    </row>
    <row r="727" ht="20" customHeight="1">
      <c r="A727" s="4" t="inlineStr">
        <is>
          <t>ST726</t>
        </is>
      </c>
      <c r="B727" s="5" t="inlineStr">
        <is>
          <t>How Loan EMI Is Calculated: The Mathematical Formula Behind Reducing Balance</t>
        </is>
      </c>
      <c r="C727" s="4" t="inlineStr">
        <is>
          <t>Finance</t>
        </is>
      </c>
      <c r="D727" s="5" t="inlineStr">
        <is>
          <t>EMI</t>
        </is>
      </c>
      <c r="E727" s="4" t="inlineStr">
        <is>
          <t>Formula Guide</t>
        </is>
      </c>
      <c r="F727" s="4" t="inlineStr">
        <is>
          <t>How-To</t>
        </is>
      </c>
      <c r="G727" s="5" t="inlineStr">
        <is>
          <t>how loan emi is calculated</t>
        </is>
      </c>
      <c r="H727" s="5" t="inlineStr">
        <is>
          <t>emi calculation formula, reducing balance emi formula, emi formula derivation, loan installment calculation</t>
        </is>
      </c>
      <c r="I727" s="5" t="inlineStr">
        <is>
          <t>EMI Calculator</t>
        </is>
      </c>
      <c r="J727" s="5" t="inlineStr">
        <is>
          <t>/finance/emi-calculator</t>
        </is>
      </c>
      <c r="K727" s="5" t="inlineStr">
        <is>
          <t>Derive the standard mathematical formula: EMI = [P * r * (1 + r)^n] / [(1 + r)^n - 1]. Break down principal (P), monthly interest rate (r), and tenure in months (n) with a clear numerical example.</t>
        </is>
      </c>
      <c r="L727" s="4" t="inlineStr">
        <is>
          <t>YES</t>
        </is>
      </c>
      <c r="M727" s="4" t="inlineStr">
        <is>
          <t>HIGH</t>
        </is>
      </c>
      <c r="N727" s="4" t="inlineStr">
        <is>
          <t>READY</t>
        </is>
      </c>
      <c r="O727" s="5" t="inlineStr"/>
      <c r="P727" s="5" t="inlineStr"/>
      <c r="Q727" s="5" t="inlineStr"/>
      <c r="R727" s="5" t="inlineStr"/>
    </row>
    <row r="728" ht="20" customHeight="1">
      <c r="A728" s="2" t="inlineStr">
        <is>
          <t>ST727</t>
        </is>
      </c>
      <c r="B728" s="3" t="inlineStr">
        <is>
          <t>Reducing Balance vs Flat Interest Rate: Why Flat Rates Are Twice as Expensive as They Look</t>
        </is>
      </c>
      <c r="C728" s="2" t="inlineStr">
        <is>
          <t>Finance</t>
        </is>
      </c>
      <c r="D728" s="3" t="inlineStr">
        <is>
          <t>EMI</t>
        </is>
      </c>
      <c r="E728" s="2" t="inlineStr">
        <is>
          <t>Comparison</t>
        </is>
      </c>
      <c r="F728" s="2" t="inlineStr">
        <is>
          <t>Educational</t>
        </is>
      </c>
      <c r="G728" s="3" t="inlineStr">
        <is>
          <t>flat interest rate vs reducing balance</t>
        </is>
      </c>
      <c r="H728" s="3" t="inlineStr">
        <is>
          <t>difference between flat and reducing interest, flat rate loan trap, effective interest rate flat loan</t>
        </is>
      </c>
      <c r="I728" s="3" t="inlineStr">
        <is>
          <t>EMI Calculator</t>
        </is>
      </c>
      <c r="J728" s="3" t="inlineStr">
        <is>
          <t>/finance/emi-calculator</t>
        </is>
      </c>
      <c r="K728" s="3" t="inlineStr">
        <is>
          <t>Prove mathematically why a 10% flat interest rate is equivalent to approximately 18% to 19% on a reducing balance basis because the borrower pays interest on already repaid principal.</t>
        </is>
      </c>
      <c r="L728" s="2" t="inlineStr">
        <is>
          <t>YES</t>
        </is>
      </c>
      <c r="M728" s="2" t="inlineStr">
        <is>
          <t>HIGH</t>
        </is>
      </c>
      <c r="N728" s="2" t="inlineStr">
        <is>
          <t>READY</t>
        </is>
      </c>
      <c r="O728" s="3" t="inlineStr"/>
      <c r="P728" s="3" t="inlineStr"/>
      <c r="Q728" s="3" t="inlineStr"/>
      <c r="R728" s="3" t="inlineStr"/>
    </row>
    <row r="729" ht="20" customHeight="1">
      <c r="A729" s="4" t="inlineStr">
        <is>
          <t>ST728</t>
        </is>
      </c>
      <c r="B729" s="5" t="inlineStr">
        <is>
          <t>How Loan Amortization Schedules Work: Why Early EMIs Pay Mostly Interest</t>
        </is>
      </c>
      <c r="C729" s="4" t="inlineStr">
        <is>
          <t>Finance</t>
        </is>
      </c>
      <c r="D729" s="5" t="inlineStr">
        <is>
          <t>EMI</t>
        </is>
      </c>
      <c r="E729" s="4" t="inlineStr">
        <is>
          <t>Explanation</t>
        </is>
      </c>
      <c r="F729" s="4" t="inlineStr">
        <is>
          <t>Educational</t>
        </is>
      </c>
      <c r="G729" s="5" t="inlineStr">
        <is>
          <t>how loan amortization schedule works</t>
        </is>
      </c>
      <c r="H729" s="5" t="inlineStr">
        <is>
          <t>principal vs interest in emi, why early emi pays only interest, loan amortization breakdown</t>
        </is>
      </c>
      <c r="I729" s="5" t="inlineStr">
        <is>
          <t>EMI Calculator</t>
        </is>
      </c>
      <c r="J729" s="5" t="inlineStr">
        <is>
          <t>/finance/emi-calculator</t>
        </is>
      </c>
      <c r="K729" s="5" t="inlineStr">
        <is>
          <t>Deconstruct the amortization mechanics: why in the first 5 years of a 20-year home loan, up to 75% of your monthly EMI pays interest while principal reduces slowly.</t>
        </is>
      </c>
      <c r="L729" s="4" t="inlineStr">
        <is>
          <t>YES</t>
        </is>
      </c>
      <c r="M729" s="4" t="inlineStr">
        <is>
          <t>HIGH</t>
        </is>
      </c>
      <c r="N729" s="4" t="inlineStr">
        <is>
          <t>READY</t>
        </is>
      </c>
      <c r="O729" s="5" t="inlineStr"/>
      <c r="P729" s="5" t="inlineStr"/>
      <c r="Q729" s="5" t="inlineStr"/>
      <c r="R729" s="5" t="inlineStr"/>
    </row>
    <row r="730" ht="20" customHeight="1">
      <c r="A730" s="2" t="inlineStr">
        <is>
          <t>ST729</t>
        </is>
      </c>
      <c r="B730" s="3" t="inlineStr">
        <is>
          <t>Education Loan EMI: Moratorium Period, Simple Interest Accumulation, and Repayment</t>
        </is>
      </c>
      <c r="C730" s="2" t="inlineStr">
        <is>
          <t>Finance</t>
        </is>
      </c>
      <c r="D730" s="3" t="inlineStr">
        <is>
          <t>EMI</t>
        </is>
      </c>
      <c r="E730" s="2" t="inlineStr">
        <is>
          <t>Guide</t>
        </is>
      </c>
      <c r="F730" s="2" t="inlineStr">
        <is>
          <t>How-To</t>
        </is>
      </c>
      <c r="G730" s="3" t="inlineStr">
        <is>
          <t>how education loan emi is calculated</t>
        </is>
      </c>
      <c r="H730" s="3" t="inlineStr">
        <is>
          <t>moratorium period education loan, sbi scholar loan emi, student loan repayment calculation</t>
        </is>
      </c>
      <c r="I730" s="3" t="inlineStr">
        <is>
          <t>EMI Calculator</t>
        </is>
      </c>
      <c r="J730" s="3" t="inlineStr">
        <is>
          <t>/finance/emi-calculator</t>
        </is>
      </c>
      <c r="K730" s="3" t="inlineStr">
        <is>
          <t>Explain the moratorium buffer (course duration + 6 to 12 months), simple interest accrual during studies, capitalization into principal, and subsequent monthly EMI schedules.</t>
        </is>
      </c>
      <c r="L730" s="2" t="inlineStr">
        <is>
          <t>YES</t>
        </is>
      </c>
      <c r="M730" s="2" t="inlineStr">
        <is>
          <t>HIGH</t>
        </is>
      </c>
      <c r="N730" s="2" t="inlineStr">
        <is>
          <t>READY</t>
        </is>
      </c>
      <c r="O730" s="3" t="inlineStr"/>
      <c r="P730" s="3" t="inlineStr"/>
      <c r="Q730" s="3" t="inlineStr"/>
      <c r="R730" s="3" t="inlineStr"/>
    </row>
    <row r="731" ht="20" customHeight="1">
      <c r="A731" s="4" t="inlineStr">
        <is>
          <t>ST730</t>
        </is>
      </c>
      <c r="B731" s="5" t="inlineStr">
        <is>
          <t>Prepayment of Home Loan: How Paying Just One Extra EMI per Year Cuts Tenure by Years</t>
        </is>
      </c>
      <c r="C731" s="4" t="inlineStr">
        <is>
          <t>Finance</t>
        </is>
      </c>
      <c r="D731" s="5" t="inlineStr">
        <is>
          <t>EMI</t>
        </is>
      </c>
      <c r="E731" s="4" t="inlineStr">
        <is>
          <t>Planning Guide</t>
        </is>
      </c>
      <c r="F731" s="4" t="inlineStr">
        <is>
          <t>Planning</t>
        </is>
      </c>
      <c r="G731" s="5" t="inlineStr">
        <is>
          <t>prepayment of home loan benefits</t>
        </is>
      </c>
      <c r="H731" s="5" t="inlineStr">
        <is>
          <t>how prepaying principal reduces loan tenure, one extra emi per year home loan, home loan prepayment calculator</t>
        </is>
      </c>
      <c r="I731" s="5" t="inlineStr">
        <is>
          <t>EMI Calculator</t>
        </is>
      </c>
      <c r="J731" s="5" t="inlineStr">
        <is>
          <t>/finance/emi-calculator</t>
        </is>
      </c>
      <c r="K731" s="5" t="inlineStr">
        <is>
          <t>Demonstrate with exact mathematical modeling how paying 1 extra EMI every year on a 20-year home loan slashes tenure by over 4 years and saves lakhs in interest.</t>
        </is>
      </c>
      <c r="L731" s="4" t="inlineStr">
        <is>
          <t>YES</t>
        </is>
      </c>
      <c r="M731" s="4" t="inlineStr">
        <is>
          <t>HIGH</t>
        </is>
      </c>
      <c r="N731" s="4" t="inlineStr">
        <is>
          <t>READY</t>
        </is>
      </c>
      <c r="O731" s="5" t="inlineStr"/>
      <c r="P731" s="5" t="inlineStr"/>
      <c r="Q731" s="5" t="inlineStr"/>
      <c r="R731" s="5" t="inlineStr"/>
    </row>
    <row r="732" ht="20" customHeight="1">
      <c r="A732" s="2" t="inlineStr">
        <is>
          <t>ST731</t>
        </is>
      </c>
      <c r="B732" s="3" t="inlineStr">
        <is>
          <t>Floating vs Fixed Interest Rate Loans: Which One Should You Choose?</t>
        </is>
      </c>
      <c r="C732" s="2" t="inlineStr">
        <is>
          <t>Finance</t>
        </is>
      </c>
      <c r="D732" s="3" t="inlineStr">
        <is>
          <t>EMI</t>
        </is>
      </c>
      <c r="E732" s="2" t="inlineStr">
        <is>
          <t>Comparison</t>
        </is>
      </c>
      <c r="F732" s="2" t="inlineStr">
        <is>
          <t>Comparison</t>
        </is>
      </c>
      <c r="G732" s="3" t="inlineStr">
        <is>
          <t>floating vs fixed interest rate loan</t>
        </is>
      </c>
      <c r="H732" s="3" t="inlineStr">
        <is>
          <t>difference between fixed and floating emi, repo rate impact on floating loan, when to choose fixed rate</t>
        </is>
      </c>
      <c r="I732" s="3" t="inlineStr">
        <is>
          <t>EMI Calculator</t>
        </is>
      </c>
      <c r="J732" s="3" t="inlineStr">
        <is>
          <t>/finance/emi-calculator</t>
        </is>
      </c>
      <c r="K732" s="3" t="inlineStr">
        <is>
          <t>Compare RBI Repo Rate transmission on floating loans vs certainty of fixed loans, prepayment penalty rules, and long-term interest cycle fluctuations.</t>
        </is>
      </c>
      <c r="L732" s="2" t="inlineStr">
        <is>
          <t>YES</t>
        </is>
      </c>
      <c r="M732" s="2" t="inlineStr">
        <is>
          <t>HIGH</t>
        </is>
      </c>
      <c r="N732" s="2" t="inlineStr">
        <is>
          <t>READY</t>
        </is>
      </c>
      <c r="O732" s="3" t="inlineStr"/>
      <c r="P732" s="3" t="inlineStr"/>
      <c r="Q732" s="3" t="inlineStr"/>
      <c r="R732" s="3" t="inlineStr"/>
    </row>
    <row r="733" ht="20" customHeight="1">
      <c r="A733" s="4" t="inlineStr">
        <is>
          <t>ST732</t>
        </is>
      </c>
      <c r="B733" s="5" t="inlineStr">
        <is>
          <t>How an Increase in RBI Repo Rate Automatically Increases Your Loan Tenure or EMI</t>
        </is>
      </c>
      <c r="C733" s="4" t="inlineStr">
        <is>
          <t>Finance</t>
        </is>
      </c>
      <c r="D733" s="5" t="inlineStr">
        <is>
          <t>EMI</t>
        </is>
      </c>
      <c r="E733" s="4" t="inlineStr">
        <is>
          <t>Explanation</t>
        </is>
      </c>
      <c r="F733" s="4" t="inlineStr">
        <is>
          <t>Educational</t>
        </is>
      </c>
      <c r="G733" s="5" t="inlineStr">
        <is>
          <t>how repo rate hike increases emi or tenure</t>
        </is>
      </c>
      <c r="H733" s="5" t="inlineStr">
        <is>
          <t>rbi repo rate impact on home loan, why bank increased loan tenure, floating rate adjustment</t>
        </is>
      </c>
      <c r="I733" s="5" t="inlineStr">
        <is>
          <t>EMI Calculator</t>
        </is>
      </c>
      <c r="J733" s="5" t="inlineStr">
        <is>
          <t>/finance/emi-calculator</t>
        </is>
      </c>
      <c r="K733" s="5" t="inlineStr">
        <is>
          <t>Explain bank policy: when the repo rate rises by 50 bps, banks automatically extend the number of loan months to keep the monthly EMI amount constant unless the borrower requests otherwise.</t>
        </is>
      </c>
      <c r="L733" s="4" t="inlineStr">
        <is>
          <t>YES</t>
        </is>
      </c>
      <c r="M733" s="4" t="inlineStr">
        <is>
          <t>HIGH</t>
        </is>
      </c>
      <c r="N733" s="4" t="inlineStr">
        <is>
          <t>READY</t>
        </is>
      </c>
      <c r="O733" s="5" t="inlineStr"/>
      <c r="P733" s="5" t="inlineStr"/>
      <c r="Q733" s="5" t="inlineStr"/>
      <c r="R733" s="5" t="inlineStr"/>
    </row>
    <row r="734" ht="20" customHeight="1">
      <c r="A734" s="2" t="inlineStr">
        <is>
          <t>ST733</t>
        </is>
      </c>
      <c r="B734" s="3" t="inlineStr">
        <is>
          <t>The 50/30/20 Rule: How Much of Your Monthly Salary Should Go Towards Loan EMIs?</t>
        </is>
      </c>
      <c r="C734" s="2" t="inlineStr">
        <is>
          <t>Finance</t>
        </is>
      </c>
      <c r="D734" s="3" t="inlineStr">
        <is>
          <t>EMI</t>
        </is>
      </c>
      <c r="E734" s="2" t="inlineStr">
        <is>
          <t>Guide</t>
        </is>
      </c>
      <c r="F734" s="2" t="inlineStr">
        <is>
          <t>Planning</t>
        </is>
      </c>
      <c r="G734" s="3" t="inlineStr">
        <is>
          <t>how much emi can i afford on my salary</t>
        </is>
      </c>
      <c r="H734" s="3" t="inlineStr">
        <is>
          <t>maximum emi percentage of salary, foir calculation bank loan, safe debt to income ratio</t>
        </is>
      </c>
      <c r="I734" s="3" t="inlineStr">
        <is>
          <t>EMI Calculator</t>
        </is>
      </c>
      <c r="J734" s="3" t="inlineStr">
        <is>
          <t>/finance/emi-calculator</t>
        </is>
      </c>
      <c r="K734" s="3" t="inlineStr">
        <is>
          <t>Explain bank FOIR (Fixed Obligation to Income Ratio) benchmarks: ensuring total monthly EMIs across all loans do not exceed 40% to 50% of net monthly take-home salary.</t>
        </is>
      </c>
      <c r="L734" s="2" t="inlineStr">
        <is>
          <t>YES</t>
        </is>
      </c>
      <c r="M734" s="2" t="inlineStr">
        <is>
          <t>HIGH</t>
        </is>
      </c>
      <c r="N734" s="2" t="inlineStr">
        <is>
          <t>READY</t>
        </is>
      </c>
      <c r="O734" s="3" t="inlineStr"/>
      <c r="P734" s="3" t="inlineStr"/>
      <c r="Q734" s="3" t="inlineStr"/>
      <c r="R734" s="3" t="inlineStr"/>
    </row>
    <row r="735" ht="20" customHeight="1">
      <c r="A735" s="4" t="inlineStr">
        <is>
          <t>ST734</t>
        </is>
      </c>
      <c r="B735" s="5" t="inlineStr">
        <is>
          <t>Car Loan vs Personal Loan: Interest Rate Comparison and EMI Calculations</t>
        </is>
      </c>
      <c r="C735" s="4" t="inlineStr">
        <is>
          <t>Finance</t>
        </is>
      </c>
      <c r="D735" s="5" t="inlineStr">
        <is>
          <t>EMI</t>
        </is>
      </c>
      <c r="E735" s="4" t="inlineStr">
        <is>
          <t>Comparison</t>
        </is>
      </c>
      <c r="F735" s="4" t="inlineStr">
        <is>
          <t>Comparison</t>
        </is>
      </c>
      <c r="G735" s="5" t="inlineStr">
        <is>
          <t>car loan vs personal loan interest rate</t>
        </is>
      </c>
      <c r="H735" s="5" t="inlineStr">
        <is>
          <t>secured vs unsecured loan emi, vehicle loan vs personal loan comparison, cheapest way to finance car</t>
        </is>
      </c>
      <c r="I735" s="5" t="inlineStr">
        <is>
          <t>EMI Calculator</t>
        </is>
      </c>
      <c r="J735" s="5" t="inlineStr">
        <is>
          <t>/finance/emi-calculator</t>
        </is>
      </c>
      <c r="K735" s="5" t="inlineStr">
        <is>
          <t>Compare hypothecated secured auto loans (typically 8.5-10%) with unsecured personal loans (11-16%), down payment requirements, processing fees, and foreclosure penalties.</t>
        </is>
      </c>
      <c r="L735" s="4" t="inlineStr">
        <is>
          <t>YES</t>
        </is>
      </c>
      <c r="M735" s="4" t="inlineStr">
        <is>
          <t>HIGH</t>
        </is>
      </c>
      <c r="N735" s="4" t="inlineStr">
        <is>
          <t>READY</t>
        </is>
      </c>
      <c r="O735" s="5" t="inlineStr"/>
      <c r="P735" s="5" t="inlineStr"/>
      <c r="Q735" s="5" t="inlineStr"/>
      <c r="R735" s="5" t="inlineStr"/>
    </row>
    <row r="736" ht="20" customHeight="1">
      <c r="A736" s="2" t="inlineStr">
        <is>
          <t>ST735</t>
        </is>
      </c>
      <c r="B736" s="3" t="inlineStr">
        <is>
          <t>No Cost EMI Trap: How Banks, Brands, and E-Commerce Platforms Actually Make Money</t>
        </is>
      </c>
      <c r="C736" s="2" t="inlineStr">
        <is>
          <t>Finance</t>
        </is>
      </c>
      <c r="D736" s="3" t="inlineStr">
        <is>
          <t>EMI</t>
        </is>
      </c>
      <c r="E736" s="2" t="inlineStr">
        <is>
          <t>Explanation</t>
        </is>
      </c>
      <c r="F736" s="2" t="inlineStr">
        <is>
          <t>Educational</t>
        </is>
      </c>
      <c r="G736" s="3" t="inlineStr">
        <is>
          <t>how no cost emi works in india</t>
        </is>
      </c>
      <c r="H736" s="3" t="inlineStr">
        <is>
          <t>truth about no cost emi, gst on no cost emi interest, processing fee no cost emi trap</t>
        </is>
      </c>
      <c r="I736" s="3" t="inlineStr">
        <is>
          <t>EMI Calculator</t>
        </is>
      </c>
      <c r="J736" s="3" t="inlineStr">
        <is>
          <t>/finance/emi-calculator</t>
        </is>
      </c>
      <c r="K736" s="3" t="inlineStr">
        <is>
          <t>Expose the mechanics: upfront discount funded by retailer equal to bank interest, but borrower must pay 18% GST on monthly interest charges and non-refundable processing fees.</t>
        </is>
      </c>
      <c r="L736" s="2" t="inlineStr">
        <is>
          <t>YES</t>
        </is>
      </c>
      <c r="M736" s="2" t="inlineStr">
        <is>
          <t>HIGH</t>
        </is>
      </c>
      <c r="N736" s="2" t="inlineStr">
        <is>
          <t>READY</t>
        </is>
      </c>
      <c r="O736" s="3" t="inlineStr"/>
      <c r="P736" s="3" t="inlineStr"/>
      <c r="Q736" s="3" t="inlineStr"/>
      <c r="R736" s="3" t="inlineStr"/>
    </row>
    <row r="737" ht="20" customHeight="1">
      <c r="A737" s="4" t="inlineStr">
        <is>
          <t>ST736</t>
        </is>
      </c>
      <c r="B737" s="5" t="inlineStr">
        <is>
          <t>Rs 5 Lakh Personal Loan for 5 Years: Monthly EMI and Total Interest Analysis</t>
        </is>
      </c>
      <c r="C737" s="4" t="inlineStr">
        <is>
          <t>Finance</t>
        </is>
      </c>
      <c r="D737" s="5" t="inlineStr">
        <is>
          <t>EMI</t>
        </is>
      </c>
      <c r="E737" s="4" t="inlineStr">
        <is>
          <t>Example</t>
        </is>
      </c>
      <c r="F737" s="4" t="inlineStr">
        <is>
          <t>Educational</t>
        </is>
      </c>
      <c r="G737" s="5" t="inlineStr">
        <is>
          <t>5 lakh personal loan emi 5 years</t>
        </is>
      </c>
      <c r="H737" s="5" t="inlineStr">
        <is>
          <t>emi calculation 5 lakh loan, monthly installment for 5 lakhs, interest on 5 lakh loan</t>
        </is>
      </c>
      <c r="I737" s="5" t="inlineStr">
        <is>
          <t>EMI Calculator</t>
        </is>
      </c>
      <c r="J737" s="5" t="inlineStr">
        <is>
          <t>/finance/emi-calculator</t>
        </is>
      </c>
      <c r="K737" s="5" t="inlineStr">
        <is>
          <t>Provide complete step-by-step mathematical calculations for a Rs 5 Lakh loan over 5 years at 12.0% annual interest, calculating exact monthly EMI, total interest payable, total payment, and showing how partial prepayment saves money.</t>
        </is>
      </c>
      <c r="L737" s="4" t="inlineStr">
        <is>
          <t>YES</t>
        </is>
      </c>
      <c r="M737" s="4" t="inlineStr">
        <is>
          <t>HIGH</t>
        </is>
      </c>
      <c r="N737" s="4" t="inlineStr">
        <is>
          <t>READY</t>
        </is>
      </c>
      <c r="O737" s="5" t="inlineStr"/>
      <c r="P737" s="5" t="inlineStr"/>
      <c r="Q737" s="5" t="inlineStr"/>
      <c r="R737" s="5" t="inlineStr"/>
    </row>
    <row r="738" ht="20" customHeight="1">
      <c r="A738" s="2" t="inlineStr">
        <is>
          <t>ST737</t>
        </is>
      </c>
      <c r="B738" s="3" t="inlineStr">
        <is>
          <t>Rs 10 Lakh Loan for 5 Years: EMI Calculation and Amortization Schedule</t>
        </is>
      </c>
      <c r="C738" s="2" t="inlineStr">
        <is>
          <t>Finance</t>
        </is>
      </c>
      <c r="D738" s="3" t="inlineStr">
        <is>
          <t>EMI</t>
        </is>
      </c>
      <c r="E738" s="2" t="inlineStr">
        <is>
          <t>Example</t>
        </is>
      </c>
      <c r="F738" s="2" t="inlineStr">
        <is>
          <t>Educational</t>
        </is>
      </c>
      <c r="G738" s="3" t="inlineStr">
        <is>
          <t>10 lakh loan emi 5 years</t>
        </is>
      </c>
      <c r="H738" s="3" t="inlineStr">
        <is>
          <t>emi calculation 10 lakh loan, monthly installment for 10 lakhs, interest on 10 lakh loan</t>
        </is>
      </c>
      <c r="I738" s="3" t="inlineStr">
        <is>
          <t>EMI Calculator</t>
        </is>
      </c>
      <c r="J738" s="3" t="inlineStr">
        <is>
          <t>/finance/emi-calculator</t>
        </is>
      </c>
      <c r="K738" s="3" t="inlineStr">
        <is>
          <t>Provide complete step-by-step mathematical calculations for a Rs 10 Lakh loan over 5 years at 9.5% annual interest, calculating exact monthly EMI, total interest payable, total payment, and showing how partial prepayment saves money.</t>
        </is>
      </c>
      <c r="L738" s="2" t="inlineStr">
        <is>
          <t>YES</t>
        </is>
      </c>
      <c r="M738" s="2" t="inlineStr">
        <is>
          <t>HIGH</t>
        </is>
      </c>
      <c r="N738" s="2" t="inlineStr">
        <is>
          <t>READY</t>
        </is>
      </c>
      <c r="O738" s="3" t="inlineStr"/>
      <c r="P738" s="3" t="inlineStr"/>
      <c r="Q738" s="3" t="inlineStr"/>
      <c r="R738" s="3" t="inlineStr"/>
    </row>
    <row r="739" ht="20" customHeight="1">
      <c r="A739" s="4" t="inlineStr">
        <is>
          <t>ST738</t>
        </is>
      </c>
      <c r="B739" s="5" t="inlineStr">
        <is>
          <t>Rs 15 Lakh Education Loan for 7 Years: Repayment and Interest Accumulation</t>
        </is>
      </c>
      <c r="C739" s="4" t="inlineStr">
        <is>
          <t>Finance</t>
        </is>
      </c>
      <c r="D739" s="5" t="inlineStr">
        <is>
          <t>EMI</t>
        </is>
      </c>
      <c r="E739" s="4" t="inlineStr">
        <is>
          <t>Example</t>
        </is>
      </c>
      <c r="F739" s="4" t="inlineStr">
        <is>
          <t>Educational</t>
        </is>
      </c>
      <c r="G739" s="5" t="inlineStr">
        <is>
          <t>15 lakh education loan emi</t>
        </is>
      </c>
      <c r="H739" s="5" t="inlineStr">
        <is>
          <t>emi calculation 15 lakh loan, monthly installment for 15 lakhs, interest on 15 lakh loan</t>
        </is>
      </c>
      <c r="I739" s="5" t="inlineStr">
        <is>
          <t>EMI Calculator</t>
        </is>
      </c>
      <c r="J739" s="5" t="inlineStr">
        <is>
          <t>/finance/emi-calculator</t>
        </is>
      </c>
      <c r="K739" s="5" t="inlineStr">
        <is>
          <t>Provide complete step-by-step mathematical calculations for a Rs 15 Lakh loan over 7 years at 9.0% annual interest, calculating exact monthly EMI, total interest payable, total payment, and showing how partial prepayment saves money.</t>
        </is>
      </c>
      <c r="L739" s="4" t="inlineStr">
        <is>
          <t>YES</t>
        </is>
      </c>
      <c r="M739" s="4" t="inlineStr">
        <is>
          <t>MEDIUM</t>
        </is>
      </c>
      <c r="N739" s="4" t="inlineStr">
        <is>
          <t>READY</t>
        </is>
      </c>
      <c r="O739" s="5" t="inlineStr"/>
      <c r="P739" s="5" t="inlineStr"/>
      <c r="Q739" s="5" t="inlineStr"/>
      <c r="R739" s="5" t="inlineStr"/>
    </row>
    <row r="740" ht="20" customHeight="1">
      <c r="A740" s="2" t="inlineStr">
        <is>
          <t>ST739</t>
        </is>
      </c>
      <c r="B740" s="3" t="inlineStr">
        <is>
          <t>Rs 20 Lakh Loan for 10 Years: Monthly Installment and Total Payable Amount</t>
        </is>
      </c>
      <c r="C740" s="2" t="inlineStr">
        <is>
          <t>Finance</t>
        </is>
      </c>
      <c r="D740" s="3" t="inlineStr">
        <is>
          <t>EMI</t>
        </is>
      </c>
      <c r="E740" s="2" t="inlineStr">
        <is>
          <t>Example</t>
        </is>
      </c>
      <c r="F740" s="2" t="inlineStr">
        <is>
          <t>Educational</t>
        </is>
      </c>
      <c r="G740" s="3" t="inlineStr">
        <is>
          <t>20 lakh loan emi 10 years</t>
        </is>
      </c>
      <c r="H740" s="3" t="inlineStr">
        <is>
          <t>emi calculation 20 lakh loan, monthly installment for 20 lakhs, interest on 20 lakh loan</t>
        </is>
      </c>
      <c r="I740" s="3" t="inlineStr">
        <is>
          <t>EMI Calculator</t>
        </is>
      </c>
      <c r="J740" s="3" t="inlineStr">
        <is>
          <t>/finance/emi-calculator</t>
        </is>
      </c>
      <c r="K740" s="3" t="inlineStr">
        <is>
          <t>Provide complete step-by-step mathematical calculations for a Rs 20 Lakh loan over 10 years at 8.75% annual interest, calculating exact monthly EMI, total interest payable, total payment, and showing how partial prepayment saves money.</t>
        </is>
      </c>
      <c r="L740" s="2" t="inlineStr">
        <is>
          <t>YES</t>
        </is>
      </c>
      <c r="M740" s="2" t="inlineStr">
        <is>
          <t>HIGH</t>
        </is>
      </c>
      <c r="N740" s="2" t="inlineStr">
        <is>
          <t>READY</t>
        </is>
      </c>
      <c r="O740" s="3" t="inlineStr"/>
      <c r="P740" s="3" t="inlineStr"/>
      <c r="Q740" s="3" t="inlineStr"/>
      <c r="R740" s="3" t="inlineStr"/>
    </row>
    <row r="741" ht="20" customHeight="1">
      <c r="A741" s="4" t="inlineStr">
        <is>
          <t>ST740</t>
        </is>
      </c>
      <c r="B741" s="5" t="inlineStr">
        <is>
          <t>Rs 25 Lakh Home Loan for 15 Years: Monthly EMI vs Total Interest Outflow</t>
        </is>
      </c>
      <c r="C741" s="4" t="inlineStr">
        <is>
          <t>Finance</t>
        </is>
      </c>
      <c r="D741" s="5" t="inlineStr">
        <is>
          <t>EMI</t>
        </is>
      </c>
      <c r="E741" s="4" t="inlineStr">
        <is>
          <t>Example</t>
        </is>
      </c>
      <c r="F741" s="4" t="inlineStr">
        <is>
          <t>Educational</t>
        </is>
      </c>
      <c r="G741" s="5" t="inlineStr">
        <is>
          <t>25 lakh home loan emi 15 years</t>
        </is>
      </c>
      <c r="H741" s="5" t="inlineStr">
        <is>
          <t>emi calculation 25 lakh loan, monthly installment for 25 lakhs, interest on 25 lakh loan</t>
        </is>
      </c>
      <c r="I741" s="5" t="inlineStr">
        <is>
          <t>EMI Calculator</t>
        </is>
      </c>
      <c r="J741" s="5" t="inlineStr">
        <is>
          <t>/finance/emi-calculator</t>
        </is>
      </c>
      <c r="K741" s="5" t="inlineStr">
        <is>
          <t>Provide complete step-by-step mathematical calculations for a Rs 25 Lakh loan over 15 years at 8.5% annual interest, calculating exact monthly EMI, total interest payable, total payment, and showing how partial prepayment saves money.</t>
        </is>
      </c>
      <c r="L741" s="4" t="inlineStr">
        <is>
          <t>YES</t>
        </is>
      </c>
      <c r="M741" s="4" t="inlineStr">
        <is>
          <t>HIGH</t>
        </is>
      </c>
      <c r="N741" s="4" t="inlineStr">
        <is>
          <t>READY</t>
        </is>
      </c>
      <c r="O741" s="5" t="inlineStr"/>
      <c r="P741" s="5" t="inlineStr"/>
      <c r="Q741" s="5" t="inlineStr"/>
      <c r="R741" s="5" t="inlineStr"/>
    </row>
    <row r="742" ht="20" customHeight="1">
      <c r="A742" s="2" t="inlineStr">
        <is>
          <t>ST741</t>
        </is>
      </c>
      <c r="B742" s="3" t="inlineStr">
        <is>
          <t>Rs 30 Lakh Home Loan for 20 Years: The 2x Repayment Reality Explained</t>
        </is>
      </c>
      <c r="C742" s="2" t="inlineStr">
        <is>
          <t>Finance</t>
        </is>
      </c>
      <c r="D742" s="3" t="inlineStr">
        <is>
          <t>EMI</t>
        </is>
      </c>
      <c r="E742" s="2" t="inlineStr">
        <is>
          <t>Example</t>
        </is>
      </c>
      <c r="F742" s="2" t="inlineStr">
        <is>
          <t>Educational</t>
        </is>
      </c>
      <c r="G742" s="3" t="inlineStr">
        <is>
          <t>30 lakh home loan emi 20 years</t>
        </is>
      </c>
      <c r="H742" s="3" t="inlineStr">
        <is>
          <t>emi calculation 30 lakh loan, monthly installment for 30 lakhs, interest on 30 lakh loan</t>
        </is>
      </c>
      <c r="I742" s="3" t="inlineStr">
        <is>
          <t>EMI Calculator</t>
        </is>
      </c>
      <c r="J742" s="3" t="inlineStr">
        <is>
          <t>/finance/emi-calculator</t>
        </is>
      </c>
      <c r="K742" s="3" t="inlineStr">
        <is>
          <t>Provide complete step-by-step mathematical calculations for a Rs 30 Lakh loan over 20 years at 8.5% annual interest, calculating exact monthly EMI, total interest payable, total payment, and showing how partial prepayment saves money.</t>
        </is>
      </c>
      <c r="L742" s="2" t="inlineStr">
        <is>
          <t>YES</t>
        </is>
      </c>
      <c r="M742" s="2" t="inlineStr">
        <is>
          <t>HIGH</t>
        </is>
      </c>
      <c r="N742" s="2" t="inlineStr">
        <is>
          <t>READY</t>
        </is>
      </c>
      <c r="O742" s="3" t="inlineStr"/>
      <c r="P742" s="3" t="inlineStr"/>
      <c r="Q742" s="3" t="inlineStr"/>
      <c r="R742" s="3" t="inlineStr"/>
    </row>
    <row r="743" ht="20" customHeight="1">
      <c r="A743" s="4" t="inlineStr">
        <is>
          <t>ST742</t>
        </is>
      </c>
      <c r="B743" s="5" t="inlineStr">
        <is>
          <t>Rs 40 Lakh Home Loan for 20 Years: Complete Yearly Amortization Breakdown</t>
        </is>
      </c>
      <c r="C743" s="4" t="inlineStr">
        <is>
          <t>Finance</t>
        </is>
      </c>
      <c r="D743" s="5" t="inlineStr">
        <is>
          <t>EMI</t>
        </is>
      </c>
      <c r="E743" s="4" t="inlineStr">
        <is>
          <t>Example</t>
        </is>
      </c>
      <c r="F743" s="4" t="inlineStr">
        <is>
          <t>Educational</t>
        </is>
      </c>
      <c r="G743" s="5" t="inlineStr">
        <is>
          <t>40 lakh home loan emi 20 years</t>
        </is>
      </c>
      <c r="H743" s="5" t="inlineStr">
        <is>
          <t>emi calculation 40 lakh loan, monthly installment for 40 lakhs, interest on 40 lakh loan</t>
        </is>
      </c>
      <c r="I743" s="5" t="inlineStr">
        <is>
          <t>EMI Calculator</t>
        </is>
      </c>
      <c r="J743" s="5" t="inlineStr">
        <is>
          <t>/finance/emi-calculator</t>
        </is>
      </c>
      <c r="K743" s="5" t="inlineStr">
        <is>
          <t>Provide complete step-by-step mathematical calculations for a Rs 40 Lakh loan over 20 years at 8.5% annual interest, calculating exact monthly EMI, total interest payable, total payment, and showing how partial prepayment saves money.</t>
        </is>
      </c>
      <c r="L743" s="4" t="inlineStr">
        <is>
          <t>YES</t>
        </is>
      </c>
      <c r="M743" s="4" t="inlineStr">
        <is>
          <t>MEDIUM</t>
        </is>
      </c>
      <c r="N743" s="4" t="inlineStr">
        <is>
          <t>READY</t>
        </is>
      </c>
      <c r="O743" s="5" t="inlineStr"/>
      <c r="P743" s="5" t="inlineStr"/>
      <c r="Q743" s="5" t="inlineStr"/>
      <c r="R743" s="5" t="inlineStr"/>
    </row>
    <row r="744" ht="20" customHeight="1">
      <c r="A744" s="2" t="inlineStr">
        <is>
          <t>ST743</t>
        </is>
      </c>
      <c r="B744" s="3" t="inlineStr">
        <is>
          <t>Rs 50 Lakh Home Loan for 20 Years: How Much Interest Do You Really Pay?</t>
        </is>
      </c>
      <c r="C744" s="2" t="inlineStr">
        <is>
          <t>Finance</t>
        </is>
      </c>
      <c r="D744" s="3" t="inlineStr">
        <is>
          <t>EMI</t>
        </is>
      </c>
      <c r="E744" s="2" t="inlineStr">
        <is>
          <t>Example</t>
        </is>
      </c>
      <c r="F744" s="2" t="inlineStr">
        <is>
          <t>Educational</t>
        </is>
      </c>
      <c r="G744" s="3" t="inlineStr">
        <is>
          <t>50 lakh home loan emi 20 years</t>
        </is>
      </c>
      <c r="H744" s="3" t="inlineStr">
        <is>
          <t>emi calculation 50 lakh loan, monthly installment for 50 lakhs, interest on 50 lakh loan</t>
        </is>
      </c>
      <c r="I744" s="3" t="inlineStr">
        <is>
          <t>EMI Calculator</t>
        </is>
      </c>
      <c r="J744" s="3" t="inlineStr">
        <is>
          <t>/finance/emi-calculator</t>
        </is>
      </c>
      <c r="K744" s="3" t="inlineStr">
        <is>
          <t>Provide complete step-by-step mathematical calculations for a Rs 50 Lakh loan over 20 years at 8.5% annual interest, calculating exact monthly EMI, total interest payable, total payment, and showing how partial prepayment saves money.</t>
        </is>
      </c>
      <c r="L744" s="2" t="inlineStr">
        <is>
          <t>YES</t>
        </is>
      </c>
      <c r="M744" s="2" t="inlineStr">
        <is>
          <t>HIGH</t>
        </is>
      </c>
      <c r="N744" s="2" t="inlineStr">
        <is>
          <t>READY</t>
        </is>
      </c>
      <c r="O744" s="3" t="inlineStr"/>
      <c r="P744" s="3" t="inlineStr"/>
      <c r="Q744" s="3" t="inlineStr"/>
      <c r="R744" s="3" t="inlineStr"/>
    </row>
    <row r="745" ht="20" customHeight="1">
      <c r="A745" s="4" t="inlineStr">
        <is>
          <t>ST744</t>
        </is>
      </c>
      <c r="B745" s="5" t="inlineStr">
        <is>
          <t>Rs 60 Lakh Home Loan for 20 Years: Calculating Monthly Budget and Tax Relief</t>
        </is>
      </c>
      <c r="C745" s="4" t="inlineStr">
        <is>
          <t>Finance</t>
        </is>
      </c>
      <c r="D745" s="5" t="inlineStr">
        <is>
          <t>EMI</t>
        </is>
      </c>
      <c r="E745" s="4" t="inlineStr">
        <is>
          <t>Example</t>
        </is>
      </c>
      <c r="F745" s="4" t="inlineStr">
        <is>
          <t>Educational</t>
        </is>
      </c>
      <c r="G745" s="5" t="inlineStr">
        <is>
          <t>60 lakh home loan emi 20 years</t>
        </is>
      </c>
      <c r="H745" s="5" t="inlineStr">
        <is>
          <t>emi calculation 60 lakh loan, monthly installment for 60 lakhs, interest on 60 lakh loan</t>
        </is>
      </c>
      <c r="I745" s="5" t="inlineStr">
        <is>
          <t>EMI Calculator</t>
        </is>
      </c>
      <c r="J745" s="5" t="inlineStr">
        <is>
          <t>/finance/emi-calculator</t>
        </is>
      </c>
      <c r="K745" s="5" t="inlineStr">
        <is>
          <t>Provide complete step-by-step mathematical calculations for a Rs 60 Lakh loan over 20 years at 8.5% annual interest, calculating exact monthly EMI, total interest payable, total payment, and showing how partial prepayment saves money.</t>
        </is>
      </c>
      <c r="L745" s="4" t="inlineStr">
        <is>
          <t>YES</t>
        </is>
      </c>
      <c r="M745" s="4" t="inlineStr">
        <is>
          <t>MEDIUM</t>
        </is>
      </c>
      <c r="N745" s="4" t="inlineStr">
        <is>
          <t>READY</t>
        </is>
      </c>
      <c r="O745" s="5" t="inlineStr"/>
      <c r="P745" s="5" t="inlineStr"/>
      <c r="Q745" s="5" t="inlineStr"/>
      <c r="R745" s="5" t="inlineStr"/>
    </row>
    <row r="746" ht="20" customHeight="1">
      <c r="A746" s="2" t="inlineStr">
        <is>
          <t>ST745</t>
        </is>
      </c>
      <c r="B746" s="3" t="inlineStr">
        <is>
          <t>Rs 75 Lakh Home Loan for 25 Years: Why Total Interest Exceeds Principal</t>
        </is>
      </c>
      <c r="C746" s="2" t="inlineStr">
        <is>
          <t>Finance</t>
        </is>
      </c>
      <c r="D746" s="3" t="inlineStr">
        <is>
          <t>EMI</t>
        </is>
      </c>
      <c r="E746" s="2" t="inlineStr">
        <is>
          <t>Example</t>
        </is>
      </c>
      <c r="F746" s="2" t="inlineStr">
        <is>
          <t>Educational</t>
        </is>
      </c>
      <c r="G746" s="3" t="inlineStr">
        <is>
          <t>75 lakh home loan emi 25 years</t>
        </is>
      </c>
      <c r="H746" s="3" t="inlineStr">
        <is>
          <t>emi calculation 75 lakh loan, monthly installment for 75 lakhs, interest on 75 lakh loan</t>
        </is>
      </c>
      <c r="I746" s="3" t="inlineStr">
        <is>
          <t>EMI Calculator</t>
        </is>
      </c>
      <c r="J746" s="3" t="inlineStr">
        <is>
          <t>/finance/emi-calculator</t>
        </is>
      </c>
      <c r="K746" s="3" t="inlineStr">
        <is>
          <t>Provide complete step-by-step mathematical calculations for a Rs 75 Lakh loan over 25 years at 8.5% annual interest, calculating exact monthly EMI, total interest payable, total payment, and showing how partial prepayment saves money.</t>
        </is>
      </c>
      <c r="L746" s="2" t="inlineStr">
        <is>
          <t>YES</t>
        </is>
      </c>
      <c r="M746" s="2" t="inlineStr">
        <is>
          <t>MEDIUM</t>
        </is>
      </c>
      <c r="N746" s="2" t="inlineStr">
        <is>
          <t>READY</t>
        </is>
      </c>
      <c r="O746" s="3" t="inlineStr"/>
      <c r="P746" s="3" t="inlineStr"/>
      <c r="Q746" s="3" t="inlineStr"/>
      <c r="R746" s="3" t="inlineStr"/>
    </row>
    <row r="747" ht="20" customHeight="1">
      <c r="A747" s="4" t="inlineStr">
        <is>
          <t>ST746</t>
        </is>
      </c>
      <c r="B747" s="5" t="inlineStr">
        <is>
          <t>Rs 1 Lakh Emergency Personal Loan for 1 Year: Exact Monthly Installment</t>
        </is>
      </c>
      <c r="C747" s="4" t="inlineStr">
        <is>
          <t>Finance</t>
        </is>
      </c>
      <c r="D747" s="5" t="inlineStr">
        <is>
          <t>EMI</t>
        </is>
      </c>
      <c r="E747" s="4" t="inlineStr">
        <is>
          <t>Example</t>
        </is>
      </c>
      <c r="F747" s="4" t="inlineStr">
        <is>
          <t>Educational</t>
        </is>
      </c>
      <c r="G747" s="5" t="inlineStr">
        <is>
          <t>1 lakh personal loan emi 1 year</t>
        </is>
      </c>
      <c r="H747" s="5" t="inlineStr">
        <is>
          <t>emi calculation 1 lakh loan, monthly installment for 1 lakhs, interest on 1 lakh loan</t>
        </is>
      </c>
      <c r="I747" s="5" t="inlineStr">
        <is>
          <t>EMI Calculator</t>
        </is>
      </c>
      <c r="J747" s="5" t="inlineStr">
        <is>
          <t>/finance/emi-calculator</t>
        </is>
      </c>
      <c r="K747" s="5" t="inlineStr">
        <is>
          <t>Provide complete step-by-step mathematical calculations for a Rs 1 Lakh loan over 1 years at 14.0% annual interest, calculating exact monthly EMI, total interest payable, total payment, and showing how partial prepayment saves money.</t>
        </is>
      </c>
      <c r="L747" s="4" t="inlineStr">
        <is>
          <t>YES</t>
        </is>
      </c>
      <c r="M747" s="4" t="inlineStr">
        <is>
          <t>MEDIUM</t>
        </is>
      </c>
      <c r="N747" s="4" t="inlineStr">
        <is>
          <t>READY</t>
        </is>
      </c>
      <c r="O747" s="5" t="inlineStr"/>
      <c r="P747" s="5" t="inlineStr"/>
      <c r="Q747" s="5" t="inlineStr"/>
      <c r="R747" s="5" t="inlineStr"/>
    </row>
    <row r="748" ht="20" customHeight="1">
      <c r="A748" s="2" t="inlineStr">
        <is>
          <t>ST747</t>
        </is>
      </c>
      <c r="B748" s="3" t="inlineStr">
        <is>
          <t>Rs 2 Lakh Personal Loan for 2 Years: EMI Calculation and Foreclosure Charges</t>
        </is>
      </c>
      <c r="C748" s="2" t="inlineStr">
        <is>
          <t>Finance</t>
        </is>
      </c>
      <c r="D748" s="3" t="inlineStr">
        <is>
          <t>EMI</t>
        </is>
      </c>
      <c r="E748" s="2" t="inlineStr">
        <is>
          <t>Example</t>
        </is>
      </c>
      <c r="F748" s="2" t="inlineStr">
        <is>
          <t>Educational</t>
        </is>
      </c>
      <c r="G748" s="3" t="inlineStr">
        <is>
          <t>2 lakh personal loan emi 2 years</t>
        </is>
      </c>
      <c r="H748" s="3" t="inlineStr">
        <is>
          <t>emi calculation 2 lakh loan, monthly installment for 2 lakhs, interest on 2 lakh loan</t>
        </is>
      </c>
      <c r="I748" s="3" t="inlineStr">
        <is>
          <t>EMI Calculator</t>
        </is>
      </c>
      <c r="J748" s="3" t="inlineStr">
        <is>
          <t>/finance/emi-calculator</t>
        </is>
      </c>
      <c r="K748" s="3" t="inlineStr">
        <is>
          <t>Provide complete step-by-step mathematical calculations for a Rs 2 Lakh loan over 2 years at 13.5% annual interest, calculating exact monthly EMI, total interest payable, total payment, and showing how partial prepayment saves money.</t>
        </is>
      </c>
      <c r="L748" s="2" t="inlineStr">
        <is>
          <t>YES</t>
        </is>
      </c>
      <c r="M748" s="2" t="inlineStr">
        <is>
          <t>MEDIUM</t>
        </is>
      </c>
      <c r="N748" s="2" t="inlineStr">
        <is>
          <t>READY</t>
        </is>
      </c>
      <c r="O748" s="3" t="inlineStr"/>
      <c r="P748" s="3" t="inlineStr"/>
      <c r="Q748" s="3" t="inlineStr"/>
      <c r="R748" s="3" t="inlineStr"/>
    </row>
    <row r="749" ht="20" customHeight="1">
      <c r="A749" s="4" t="inlineStr">
        <is>
          <t>ST748</t>
        </is>
      </c>
      <c r="B749" s="5" t="inlineStr">
        <is>
          <t>Rs 3 Lakh Loan for 3 Years: Monthly Installment Breakdown</t>
        </is>
      </c>
      <c r="C749" s="4" t="inlineStr">
        <is>
          <t>Finance</t>
        </is>
      </c>
      <c r="D749" s="5" t="inlineStr">
        <is>
          <t>EMI</t>
        </is>
      </c>
      <c r="E749" s="4" t="inlineStr">
        <is>
          <t>Example</t>
        </is>
      </c>
      <c r="F749" s="4" t="inlineStr">
        <is>
          <t>Educational</t>
        </is>
      </c>
      <c r="G749" s="5" t="inlineStr">
        <is>
          <t>3 lakh personal loan emi 3 years</t>
        </is>
      </c>
      <c r="H749" s="5" t="inlineStr">
        <is>
          <t>emi calculation 3 lakh loan, monthly installment for 3 lakhs, interest on 3 lakh loan</t>
        </is>
      </c>
      <c r="I749" s="5" t="inlineStr">
        <is>
          <t>EMI Calculator</t>
        </is>
      </c>
      <c r="J749" s="5" t="inlineStr">
        <is>
          <t>/finance/emi-calculator</t>
        </is>
      </c>
      <c r="K749" s="5" t="inlineStr">
        <is>
          <t>Provide complete step-by-step mathematical calculations for a Rs 3 Lakh loan over 3 years at 12.5% annual interest, calculating exact monthly EMI, total interest payable, total payment, and showing how partial prepayment saves money.</t>
        </is>
      </c>
      <c r="L749" s="4" t="inlineStr">
        <is>
          <t>YES</t>
        </is>
      </c>
      <c r="M749" s="4" t="inlineStr">
        <is>
          <t>MEDIUM</t>
        </is>
      </c>
      <c r="N749" s="4" t="inlineStr">
        <is>
          <t>READY</t>
        </is>
      </c>
      <c r="O749" s="5" t="inlineStr"/>
      <c r="P749" s="5" t="inlineStr"/>
      <c r="Q749" s="5" t="inlineStr"/>
      <c r="R749" s="5" t="inlineStr"/>
    </row>
    <row r="750" ht="20" customHeight="1">
      <c r="A750" s="2" t="inlineStr">
        <is>
          <t>ST749</t>
        </is>
      </c>
      <c r="B750" s="3" t="inlineStr">
        <is>
          <t>Rs 7 Lakh Car Loan for 5 Years: Down Payment vs Monthly EMI Options</t>
        </is>
      </c>
      <c r="C750" s="2" t="inlineStr">
        <is>
          <t>Finance</t>
        </is>
      </c>
      <c r="D750" s="3" t="inlineStr">
        <is>
          <t>EMI</t>
        </is>
      </c>
      <c r="E750" s="2" t="inlineStr">
        <is>
          <t>Example</t>
        </is>
      </c>
      <c r="F750" s="2" t="inlineStr">
        <is>
          <t>Educational</t>
        </is>
      </c>
      <c r="G750" s="3" t="inlineStr">
        <is>
          <t>7 lakh car loan emi 5 years</t>
        </is>
      </c>
      <c r="H750" s="3" t="inlineStr">
        <is>
          <t>emi calculation 7 lakh loan, monthly installment for 7 lakhs, interest on 7 lakh loan</t>
        </is>
      </c>
      <c r="I750" s="3" t="inlineStr">
        <is>
          <t>EMI Calculator</t>
        </is>
      </c>
      <c r="J750" s="3" t="inlineStr">
        <is>
          <t>/finance/emi-calculator</t>
        </is>
      </c>
      <c r="K750" s="3" t="inlineStr">
        <is>
          <t>Provide complete step-by-step mathematical calculations for a Rs 7 Lakh loan over 5 years at 8.75% annual interest, calculating exact monthly EMI, total interest payable, total payment, and showing how partial prepayment saves money.</t>
        </is>
      </c>
      <c r="L750" s="2" t="inlineStr">
        <is>
          <t>YES</t>
        </is>
      </c>
      <c r="M750" s="2" t="inlineStr">
        <is>
          <t>MEDIUM</t>
        </is>
      </c>
      <c r="N750" s="2" t="inlineStr">
        <is>
          <t>READY</t>
        </is>
      </c>
      <c r="O750" s="3" t="inlineStr"/>
      <c r="P750" s="3" t="inlineStr"/>
      <c r="Q750" s="3" t="inlineStr"/>
      <c r="R750" s="3" t="inlineStr"/>
    </row>
    <row r="751" ht="20" customHeight="1">
      <c r="A751" s="4" t="inlineStr">
        <is>
          <t>ST750</t>
        </is>
      </c>
      <c r="B751" s="5" t="inlineStr">
        <is>
          <t>Rs 8 Lakh Auto Loan for 7 Years: Total Interest Comparison</t>
        </is>
      </c>
      <c r="C751" s="4" t="inlineStr">
        <is>
          <t>Finance</t>
        </is>
      </c>
      <c r="D751" s="5" t="inlineStr">
        <is>
          <t>EMI</t>
        </is>
      </c>
      <c r="E751" s="4" t="inlineStr">
        <is>
          <t>Example</t>
        </is>
      </c>
      <c r="F751" s="4" t="inlineStr">
        <is>
          <t>Educational</t>
        </is>
      </c>
      <c r="G751" s="5" t="inlineStr">
        <is>
          <t>8 lakh car loan emi 7 years</t>
        </is>
      </c>
      <c r="H751" s="5" t="inlineStr">
        <is>
          <t>emi calculation 8 lakh loan, monthly installment for 8 lakhs, interest on 8 lakh loan</t>
        </is>
      </c>
      <c r="I751" s="5" t="inlineStr">
        <is>
          <t>EMI Calculator</t>
        </is>
      </c>
      <c r="J751" s="5" t="inlineStr">
        <is>
          <t>/finance/emi-calculator</t>
        </is>
      </c>
      <c r="K751" s="5" t="inlineStr">
        <is>
          <t>Provide complete step-by-step mathematical calculations for a Rs 8 Lakh loan over 7 years at 8.85% annual interest, calculating exact monthly EMI, total interest payable, total payment, and showing how partial prepayment saves money.</t>
        </is>
      </c>
      <c r="L751" s="4" t="inlineStr">
        <is>
          <t>YES</t>
        </is>
      </c>
      <c r="M751" s="4" t="inlineStr">
        <is>
          <t>MEDIUM</t>
        </is>
      </c>
      <c r="N751" s="4" t="inlineStr">
        <is>
          <t>READY</t>
        </is>
      </c>
      <c r="O751" s="5" t="inlineStr"/>
      <c r="P751" s="5" t="inlineStr"/>
      <c r="Q751" s="5" t="inlineStr"/>
      <c r="R751" s="5" t="inlineStr"/>
    </row>
    <row r="752" ht="20" customHeight="1">
      <c r="A752" s="2" t="inlineStr">
        <is>
          <t>ST751</t>
        </is>
      </c>
      <c r="B752" s="3" t="inlineStr">
        <is>
          <t>Rs 12 Lakh SUV Car Loan for 5 Years: Monthly Paycheck Budgeting</t>
        </is>
      </c>
      <c r="C752" s="2" t="inlineStr">
        <is>
          <t>Finance</t>
        </is>
      </c>
      <c r="D752" s="3" t="inlineStr">
        <is>
          <t>EMI</t>
        </is>
      </c>
      <c r="E752" s="2" t="inlineStr">
        <is>
          <t>Example</t>
        </is>
      </c>
      <c r="F752" s="2" t="inlineStr">
        <is>
          <t>Educational</t>
        </is>
      </c>
      <c r="G752" s="3" t="inlineStr">
        <is>
          <t>12 lakh car loan emi 5 years</t>
        </is>
      </c>
      <c r="H752" s="3" t="inlineStr">
        <is>
          <t>emi calculation 12 lakh loan, monthly installment for 12 lakhs, interest on 12 lakh loan</t>
        </is>
      </c>
      <c r="I752" s="3" t="inlineStr">
        <is>
          <t>EMI Calculator</t>
        </is>
      </c>
      <c r="J752" s="3" t="inlineStr">
        <is>
          <t>/finance/emi-calculator</t>
        </is>
      </c>
      <c r="K752" s="3" t="inlineStr">
        <is>
          <t>Provide complete step-by-step mathematical calculations for a Rs 12 Lakh loan over 5 years at 8.65% annual interest, calculating exact monthly EMI, total interest payable, total payment, and showing how partial prepayment saves money.</t>
        </is>
      </c>
      <c r="L752" s="2" t="inlineStr">
        <is>
          <t>YES</t>
        </is>
      </c>
      <c r="M752" s="2" t="inlineStr">
        <is>
          <t>MEDIUM</t>
        </is>
      </c>
      <c r="N752" s="2" t="inlineStr">
        <is>
          <t>READY</t>
        </is>
      </c>
      <c r="O752" s="3" t="inlineStr"/>
      <c r="P752" s="3" t="inlineStr"/>
      <c r="Q752" s="3" t="inlineStr"/>
      <c r="R752" s="3" t="inlineStr"/>
    </row>
    <row r="753" ht="20" customHeight="1">
      <c r="A753" s="4" t="inlineStr">
        <is>
          <t>ST752</t>
        </is>
      </c>
      <c r="B753" s="5" t="inlineStr">
        <is>
          <t>Rs 35 Lakh Home Loan for 20 Years: Amortization Schedule and Prepayment Plan</t>
        </is>
      </c>
      <c r="C753" s="4" t="inlineStr">
        <is>
          <t>Finance</t>
        </is>
      </c>
      <c r="D753" s="5" t="inlineStr">
        <is>
          <t>EMI</t>
        </is>
      </c>
      <c r="E753" s="4" t="inlineStr">
        <is>
          <t>Example</t>
        </is>
      </c>
      <c r="F753" s="4" t="inlineStr">
        <is>
          <t>Educational</t>
        </is>
      </c>
      <c r="G753" s="5" t="inlineStr">
        <is>
          <t>35 lakh home loan emi 20 years</t>
        </is>
      </c>
      <c r="H753" s="5" t="inlineStr">
        <is>
          <t>emi calculation 35 lakh loan, monthly installment for 35 lakhs, interest on 35 lakh loan</t>
        </is>
      </c>
      <c r="I753" s="5" t="inlineStr">
        <is>
          <t>EMI Calculator</t>
        </is>
      </c>
      <c r="J753" s="5" t="inlineStr">
        <is>
          <t>/finance/emi-calculator</t>
        </is>
      </c>
      <c r="K753" s="5" t="inlineStr">
        <is>
          <t>Provide complete step-by-step mathematical calculations for a Rs 35 Lakh loan over 20 years at 8.5% annual interest, calculating exact monthly EMI, total interest payable, total payment, and showing how partial prepayment saves money.</t>
        </is>
      </c>
      <c r="L753" s="4" t="inlineStr">
        <is>
          <t>YES</t>
        </is>
      </c>
      <c r="M753" s="4" t="inlineStr">
        <is>
          <t>MEDIUM</t>
        </is>
      </c>
      <c r="N753" s="4" t="inlineStr">
        <is>
          <t>READY</t>
        </is>
      </c>
      <c r="O753" s="5" t="inlineStr"/>
      <c r="P753" s="5" t="inlineStr"/>
      <c r="Q753" s="5" t="inlineStr"/>
      <c r="R753" s="5" t="inlineStr"/>
    </row>
    <row r="754" ht="20" customHeight="1">
      <c r="A754" s="2" t="inlineStr">
        <is>
          <t>ST753</t>
        </is>
      </c>
      <c r="B754" s="3" t="inlineStr">
        <is>
          <t>Rs 45 Lakh Home Loan for 20 Years: Detailed Interest and Principal Waterfall</t>
        </is>
      </c>
      <c r="C754" s="2" t="inlineStr">
        <is>
          <t>Finance</t>
        </is>
      </c>
      <c r="D754" s="3" t="inlineStr">
        <is>
          <t>EMI</t>
        </is>
      </c>
      <c r="E754" s="2" t="inlineStr">
        <is>
          <t>Example</t>
        </is>
      </c>
      <c r="F754" s="2" t="inlineStr">
        <is>
          <t>Educational</t>
        </is>
      </c>
      <c r="G754" s="3" t="inlineStr">
        <is>
          <t>45 lakh home loan emi 20 years</t>
        </is>
      </c>
      <c r="H754" s="3" t="inlineStr">
        <is>
          <t>emi calculation 45 lakh loan, monthly installment for 45 lakhs, interest on 45 lakh loan</t>
        </is>
      </c>
      <c r="I754" s="3" t="inlineStr">
        <is>
          <t>EMI Calculator</t>
        </is>
      </c>
      <c r="J754" s="3" t="inlineStr">
        <is>
          <t>/finance/emi-calculator</t>
        </is>
      </c>
      <c r="K754" s="3" t="inlineStr">
        <is>
          <t>Provide complete step-by-step mathematical calculations for a Rs 45 Lakh loan over 20 years at 8.5% annual interest, calculating exact monthly EMI, total interest payable, total payment, and showing how partial prepayment saves money.</t>
        </is>
      </c>
      <c r="L754" s="2" t="inlineStr">
        <is>
          <t>YES</t>
        </is>
      </c>
      <c r="M754" s="2" t="inlineStr">
        <is>
          <t>MEDIUM</t>
        </is>
      </c>
      <c r="N754" s="2" t="inlineStr">
        <is>
          <t>READY</t>
        </is>
      </c>
      <c r="O754" s="3" t="inlineStr"/>
      <c r="P754" s="3" t="inlineStr"/>
      <c r="Q754" s="3" t="inlineStr"/>
      <c r="R754" s="3" t="inlineStr"/>
    </row>
    <row r="755" ht="20" customHeight="1">
      <c r="A755" s="4" t="inlineStr">
        <is>
          <t>ST754</t>
        </is>
      </c>
      <c r="B755" s="5" t="inlineStr">
        <is>
          <t>Rs 80 Lakh Premium Home Loan for 20 Years: Financial Health Analysis</t>
        </is>
      </c>
      <c r="C755" s="4" t="inlineStr">
        <is>
          <t>Finance</t>
        </is>
      </c>
      <c r="D755" s="5" t="inlineStr">
        <is>
          <t>EMI</t>
        </is>
      </c>
      <c r="E755" s="4" t="inlineStr">
        <is>
          <t>Example</t>
        </is>
      </c>
      <c r="F755" s="4" t="inlineStr">
        <is>
          <t>Educational</t>
        </is>
      </c>
      <c r="G755" s="5" t="inlineStr">
        <is>
          <t>80 lakh home loan emi 20 years</t>
        </is>
      </c>
      <c r="H755" s="5" t="inlineStr">
        <is>
          <t>emi calculation 80 lakh loan, monthly installment for 80 lakhs, interest on 80 lakh loan</t>
        </is>
      </c>
      <c r="I755" s="5" t="inlineStr">
        <is>
          <t>EMI Calculator</t>
        </is>
      </c>
      <c r="J755" s="5" t="inlineStr">
        <is>
          <t>/finance/emi-calculator</t>
        </is>
      </c>
      <c r="K755" s="5" t="inlineStr">
        <is>
          <t>Provide complete step-by-step mathematical calculations for a Rs 80 Lakh loan over 20 years at 8.5% annual interest, calculating exact monthly EMI, total interest payable, total payment, and showing how partial prepayment saves money.</t>
        </is>
      </c>
      <c r="L755" s="4" t="inlineStr">
        <is>
          <t>YES</t>
        </is>
      </c>
      <c r="M755" s="4" t="inlineStr">
        <is>
          <t>MEDIUM</t>
        </is>
      </c>
      <c r="N755" s="4" t="inlineStr">
        <is>
          <t>READY</t>
        </is>
      </c>
      <c r="O755" s="5" t="inlineStr"/>
      <c r="P755" s="5" t="inlineStr"/>
      <c r="Q755" s="5" t="inlineStr"/>
      <c r="R755" s="5" t="inlineStr"/>
    </row>
    <row r="756" ht="20" customHeight="1">
      <c r="A756" s="2" t="inlineStr">
        <is>
          <t>ST755</t>
        </is>
      </c>
      <c r="B756" s="3" t="inlineStr">
        <is>
          <t>Rs 1 Crore Home Loan for 20 Years: Exact Monthly EMI and Wealth Planning</t>
        </is>
      </c>
      <c r="C756" s="2" t="inlineStr">
        <is>
          <t>Finance</t>
        </is>
      </c>
      <c r="D756" s="3" t="inlineStr">
        <is>
          <t>EMI</t>
        </is>
      </c>
      <c r="E756" s="2" t="inlineStr">
        <is>
          <t>Example</t>
        </is>
      </c>
      <c r="F756" s="2" t="inlineStr">
        <is>
          <t>Educational</t>
        </is>
      </c>
      <c r="G756" s="3" t="inlineStr">
        <is>
          <t>1 crore home loan emi 20 years</t>
        </is>
      </c>
      <c r="H756" s="3" t="inlineStr">
        <is>
          <t>emi calculation 100 lakh loan, monthly installment for 100 lakhs, interest on 100 lakh loan</t>
        </is>
      </c>
      <c r="I756" s="3" t="inlineStr">
        <is>
          <t>EMI Calculator</t>
        </is>
      </c>
      <c r="J756" s="3" t="inlineStr">
        <is>
          <t>/finance/emi-calculator</t>
        </is>
      </c>
      <c r="K756" s="3" t="inlineStr">
        <is>
          <t>Provide complete step-by-step mathematical calculations for a Rs 100 Lakh loan over 20 years at 8.5% annual interest, calculating exact monthly EMI, total interest payable, total payment, and showing how partial prepayment saves money.</t>
        </is>
      </c>
      <c r="L756" s="2" t="inlineStr">
        <is>
          <t>YES</t>
        </is>
      </c>
      <c r="M756" s="2" t="inlineStr">
        <is>
          <t>HIGH</t>
        </is>
      </c>
      <c r="N756" s="2" t="inlineStr">
        <is>
          <t>READY</t>
        </is>
      </c>
      <c r="O756" s="3" t="inlineStr"/>
      <c r="P756" s="3" t="inlineStr"/>
      <c r="Q756" s="3" t="inlineStr"/>
      <c r="R756" s="3" t="inlineStr"/>
    </row>
    <row r="757" ht="20" customHeight="1">
      <c r="A757" s="4" t="inlineStr">
        <is>
          <t>ST756</t>
        </is>
      </c>
      <c r="B757" s="5" t="inlineStr">
        <is>
          <t>Step-Up EMI vs Step-Down EMI: How Structured Repayment Works for Young Professionals</t>
        </is>
      </c>
      <c r="C757" s="4" t="inlineStr">
        <is>
          <t>Finance</t>
        </is>
      </c>
      <c r="D757" s="5" t="inlineStr">
        <is>
          <t>EMI</t>
        </is>
      </c>
      <c r="E757" s="4" t="inlineStr">
        <is>
          <t>Comparison</t>
        </is>
      </c>
      <c r="F757" s="4" t="inlineStr">
        <is>
          <t>Educational</t>
        </is>
      </c>
      <c r="G757" s="5" t="inlineStr">
        <is>
          <t>step up vs step down emi</t>
        </is>
      </c>
      <c r="H757" s="5" t="inlineStr">
        <is>
          <t>what is step up emi, flexible loan repayment scheme, graduating emi home loan</t>
        </is>
      </c>
      <c r="I757" s="5" t="inlineStr">
        <is>
          <t>EMI Calculator</t>
        </is>
      </c>
      <c r="J757" s="5" t="inlineStr">
        <is>
          <t>/finance/emi-calculator</t>
        </is>
      </c>
      <c r="K757" s="5" t="inlineStr">
        <is>
          <t>Compare Step-Up EMIs (lower initial EMIs designed to scale as salary increases) with standard flat EMIs and Step-Down schemes for retiring borrowers.</t>
        </is>
      </c>
      <c r="L757" s="4" t="inlineStr">
        <is>
          <t>YES</t>
        </is>
      </c>
      <c r="M757" s="4" t="inlineStr">
        <is>
          <t>HIGH</t>
        </is>
      </c>
      <c r="N757" s="4" t="inlineStr">
        <is>
          <t>READY</t>
        </is>
      </c>
      <c r="O757" s="5" t="inlineStr"/>
      <c r="P757" s="5" t="inlineStr"/>
      <c r="Q757" s="5" t="inlineStr"/>
      <c r="R757" s="5" t="inlineStr"/>
    </row>
    <row r="758" ht="20" customHeight="1">
      <c r="A758" s="2" t="inlineStr">
        <is>
          <t>ST757</t>
        </is>
      </c>
      <c r="B758" s="3" t="inlineStr">
        <is>
          <t>How to Calculate Part-Prepayment vs Tenure Reduction on an Active Loan</t>
        </is>
      </c>
      <c r="C758" s="2" t="inlineStr">
        <is>
          <t>Finance</t>
        </is>
      </c>
      <c r="D758" s="3" t="inlineStr">
        <is>
          <t>EMI</t>
        </is>
      </c>
      <c r="E758" s="2" t="inlineStr">
        <is>
          <t>How-To</t>
        </is>
      </c>
      <c r="F758" s="2" t="inlineStr">
        <is>
          <t>How-To</t>
        </is>
      </c>
      <c r="G758" s="3" t="inlineStr">
        <is>
          <t>part prepayment reduce emi or tenure</t>
        </is>
      </c>
      <c r="H758" s="3" t="inlineStr">
        <is>
          <t>prepayment tenure reduction vs emi reduction, which is better lower emi or lower tenure, home loan prepayment math</t>
        </is>
      </c>
      <c r="I758" s="3" t="inlineStr">
        <is>
          <t>EMI Calculator</t>
        </is>
      </c>
      <c r="J758" s="3" t="inlineStr">
        <is>
          <t>/finance/emi-calculator</t>
        </is>
      </c>
      <c r="K758" s="3" t="inlineStr">
        <is>
          <t>Show mathematically why keeping EMI constant and reducing tenure saves significantly more interest than lowering monthly EMI while retaining tenure.</t>
        </is>
      </c>
      <c r="L758" s="2" t="inlineStr">
        <is>
          <t>YES</t>
        </is>
      </c>
      <c r="M758" s="2" t="inlineStr">
        <is>
          <t>HIGH</t>
        </is>
      </c>
      <c r="N758" s="2" t="inlineStr">
        <is>
          <t>READY</t>
        </is>
      </c>
      <c r="O758" s="3" t="inlineStr"/>
      <c r="P758" s="3" t="inlineStr"/>
      <c r="Q758" s="3" t="inlineStr"/>
      <c r="R758" s="3" t="inlineStr"/>
    </row>
    <row r="759" ht="20" customHeight="1">
      <c r="A759" s="4" t="inlineStr">
        <is>
          <t>ST758</t>
        </is>
      </c>
      <c r="B759" s="5" t="inlineStr">
        <is>
          <t>Home Loan Tax Benefits: Section 24(b) and Section 80C Explained with Math</t>
        </is>
      </c>
      <c r="C759" s="4" t="inlineStr">
        <is>
          <t>Finance</t>
        </is>
      </c>
      <c r="D759" s="5" t="inlineStr">
        <is>
          <t>EMI</t>
        </is>
      </c>
      <c r="E759" s="4" t="inlineStr">
        <is>
          <t>Guide</t>
        </is>
      </c>
      <c r="F759" s="4" t="inlineStr">
        <is>
          <t>Reference</t>
        </is>
      </c>
      <c r="G759" s="5" t="inlineStr">
        <is>
          <t>home loan tax exemption section 24b and 80c</t>
        </is>
      </c>
      <c r="H759" s="5" t="inlineStr">
        <is>
          <t>tax deduction on home loan principal and interest, 2 lakh interest deduction, home loan tax saving new regime</t>
        </is>
      </c>
      <c r="I759" s="5" t="inlineStr">
        <is>
          <t>EMI Calculator</t>
        </is>
      </c>
      <c r="J759" s="5" t="inlineStr">
        <is>
          <t>/finance/emi-calculator</t>
        </is>
      </c>
      <c r="K759" s="5" t="inlineStr">
        <is>
          <t>Explain deduction limits: up to Rs 2 Lakh on interest under Section 24(b) and up to Rs 1.5 Lakh on principal under Section 80C under the Old Tax Regime.</t>
        </is>
      </c>
      <c r="L759" s="4" t="inlineStr">
        <is>
          <t>YES</t>
        </is>
      </c>
      <c r="M759" s="4" t="inlineStr">
        <is>
          <t>HIGH</t>
        </is>
      </c>
      <c r="N759" s="4" t="inlineStr">
        <is>
          <t>READY</t>
        </is>
      </c>
      <c r="O759" s="5" t="inlineStr"/>
      <c r="P759" s="5" t="inlineStr"/>
      <c r="Q759" s="5" t="inlineStr"/>
      <c r="R759" s="5" t="inlineStr"/>
    </row>
    <row r="760" ht="20" customHeight="1">
      <c r="A760" s="2" t="inlineStr">
        <is>
          <t>ST759</t>
        </is>
      </c>
      <c r="B760" s="3" t="inlineStr">
        <is>
          <t>How Processing Fees and Pre-EMI Charges Increase the Cost of a Construction Loan</t>
        </is>
      </c>
      <c r="C760" s="2" t="inlineStr">
        <is>
          <t>Finance</t>
        </is>
      </c>
      <c r="D760" s="3" t="inlineStr">
        <is>
          <t>EMI</t>
        </is>
      </c>
      <c r="E760" s="2" t="inlineStr">
        <is>
          <t>Explanation</t>
        </is>
      </c>
      <c r="F760" s="2" t="inlineStr">
        <is>
          <t>Informational</t>
        </is>
      </c>
      <c r="G760" s="3" t="inlineStr">
        <is>
          <t>pre emi vs full emi construction loan</t>
        </is>
      </c>
      <c r="H760" s="3" t="inlineStr">
        <is>
          <t>what is pre emi interest, under construction property loan calculation, tranche based loan disbursement</t>
        </is>
      </c>
      <c r="I760" s="3" t="inlineStr">
        <is>
          <t>EMI Calculator</t>
        </is>
      </c>
      <c r="J760" s="3" t="inlineStr">
        <is>
          <t>/finance/emi-calculator</t>
        </is>
      </c>
      <c r="K760" s="3" t="inlineStr">
        <is>
          <t>Explain pre-EMI: paying only simple interest on partial disbursements during construction without reducing any principal, increasing total borrowing cost.</t>
        </is>
      </c>
      <c r="L760" s="2" t="inlineStr">
        <is>
          <t>YES</t>
        </is>
      </c>
      <c r="M760" s="2" t="inlineStr">
        <is>
          <t>HIGH</t>
        </is>
      </c>
      <c r="N760" s="2" t="inlineStr">
        <is>
          <t>READY</t>
        </is>
      </c>
      <c r="O760" s="3" t="inlineStr"/>
      <c r="P760" s="3" t="inlineStr"/>
      <c r="Q760" s="3" t="inlineStr"/>
      <c r="R760" s="3" t="inlineStr"/>
    </row>
    <row r="761" ht="20" customHeight="1">
      <c r="A761" s="4" t="inlineStr">
        <is>
          <t>ST760</t>
        </is>
      </c>
      <c r="B761" s="5" t="inlineStr">
        <is>
          <t>Can You Get a Personal Loan with a 650 CIBIL Score? Interest Rates and EMIs</t>
        </is>
      </c>
      <c r="C761" s="4" t="inlineStr">
        <is>
          <t>Finance</t>
        </is>
      </c>
      <c r="D761" s="5" t="inlineStr">
        <is>
          <t>EMI</t>
        </is>
      </c>
      <c r="E761" s="4" t="inlineStr">
        <is>
          <t>Guide</t>
        </is>
      </c>
      <c r="F761" s="4" t="inlineStr">
        <is>
          <t>Reference</t>
        </is>
      </c>
      <c r="G761" s="5" t="inlineStr">
        <is>
          <t>personal loan for 650 cibil score</t>
        </is>
      </c>
      <c r="H761" s="5" t="inlineStr">
        <is>
          <t>low cibil score loan interest rate, how credit score affects emi, improving cibil for cheaper loan</t>
        </is>
      </c>
      <c r="I761" s="5" t="inlineStr">
        <is>
          <t>EMI Calculator</t>
        </is>
      </c>
      <c r="J761" s="5" t="inlineStr">
        <is>
          <t>/finance/emi-calculator</t>
        </is>
      </c>
      <c r="K761" s="5" t="inlineStr">
        <is>
          <t>Analyze risk pricing: why a 650 score might attract a 16-20% interest rate compared to 10.5% for a 750+ score, and the massive impact on monthly EMI.</t>
        </is>
      </c>
      <c r="L761" s="4" t="inlineStr">
        <is>
          <t>YES</t>
        </is>
      </c>
      <c r="M761" s="4" t="inlineStr">
        <is>
          <t>HIGH</t>
        </is>
      </c>
      <c r="N761" s="4" t="inlineStr">
        <is>
          <t>READY</t>
        </is>
      </c>
      <c r="O761" s="5" t="inlineStr"/>
      <c r="P761" s="5" t="inlineStr"/>
      <c r="Q761" s="5" t="inlineStr"/>
      <c r="R761" s="5" t="inlineStr"/>
    </row>
    <row r="762" ht="20" customHeight="1">
      <c r="A762" s="2" t="inlineStr">
        <is>
          <t>ST761</t>
        </is>
      </c>
      <c r="B762" s="3" t="inlineStr">
        <is>
          <t>How Balance Transfer of Home Loan (Refinancing) Saves Money: Calculation Checklist</t>
        </is>
      </c>
      <c r="C762" s="2" t="inlineStr">
        <is>
          <t>Finance</t>
        </is>
      </c>
      <c r="D762" s="3" t="inlineStr">
        <is>
          <t>EMI</t>
        </is>
      </c>
      <c r="E762" s="2" t="inlineStr">
        <is>
          <t>Guide</t>
        </is>
      </c>
      <c r="F762" s="2" t="inlineStr">
        <is>
          <t>How-To</t>
        </is>
      </c>
      <c r="G762" s="3" t="inlineStr">
        <is>
          <t>home loan balance transfer calculation</t>
        </is>
      </c>
      <c r="H762" s="3" t="inlineStr">
        <is>
          <t>switching home loan to another bank, balance transfer processing fee vs savings, when to refinance home loan</t>
        </is>
      </c>
      <c r="I762" s="3" t="inlineStr">
        <is>
          <t>EMI Calculator</t>
        </is>
      </c>
      <c r="J762" s="3" t="inlineStr">
        <is>
          <t>/finance/emi-calculator</t>
        </is>
      </c>
      <c r="K762" s="3" t="inlineStr">
        <is>
          <t>Calculate Net Refinancing Gain: Total Interest Saved minus MODT charges, valuation fees, processing fees, and stamp duty expenses.</t>
        </is>
      </c>
      <c r="L762" s="2" t="inlineStr">
        <is>
          <t>YES</t>
        </is>
      </c>
      <c r="M762" s="2" t="inlineStr">
        <is>
          <t>HIGH</t>
        </is>
      </c>
      <c r="N762" s="2" t="inlineStr">
        <is>
          <t>READY</t>
        </is>
      </c>
      <c r="O762" s="3" t="inlineStr"/>
      <c r="P762" s="3" t="inlineStr"/>
      <c r="Q762" s="3" t="inlineStr"/>
      <c r="R762" s="3" t="inlineStr"/>
    </row>
    <row r="763" ht="20" customHeight="1">
      <c r="A763" s="4" t="inlineStr">
        <is>
          <t>ST762</t>
        </is>
      </c>
      <c r="B763" s="5" t="inlineStr">
        <is>
          <t>Zero Foreclosure Penalty on Floating Rate Loans: RBI Guidelines Explained</t>
        </is>
      </c>
      <c r="C763" s="4" t="inlineStr">
        <is>
          <t>Finance</t>
        </is>
      </c>
      <c r="D763" s="5" t="inlineStr">
        <is>
          <t>EMI</t>
        </is>
      </c>
      <c r="E763" s="4" t="inlineStr">
        <is>
          <t>Guide</t>
        </is>
      </c>
      <c r="F763" s="4" t="inlineStr">
        <is>
          <t>Reference</t>
        </is>
      </c>
      <c r="G763" s="5" t="inlineStr">
        <is>
          <t>rbi rules on loan foreclosure charges</t>
        </is>
      </c>
      <c r="H763" s="5" t="inlineStr">
        <is>
          <t>zero penalty prepayment floating loan, home loan prepayment charges rbi, individual borrower foreclosure rules</t>
        </is>
      </c>
      <c r="I763" s="5" t="inlineStr">
        <is>
          <t>EMI Calculator</t>
        </is>
      </c>
      <c r="J763" s="5" t="inlineStr">
        <is>
          <t>/finance/emi-calculator</t>
        </is>
      </c>
      <c r="K763" s="5" t="inlineStr">
        <is>
          <t>Explain statutory consumer rights: RBI prohibits banks and NBFCs from charging foreclosure or part-prepayment penalties on floating rate loans to individual borrowers.</t>
        </is>
      </c>
      <c r="L763" s="4" t="inlineStr">
        <is>
          <t>YES</t>
        </is>
      </c>
      <c r="M763" s="4" t="inlineStr">
        <is>
          <t>HIGH</t>
        </is>
      </c>
      <c r="N763" s="4" t="inlineStr">
        <is>
          <t>READY</t>
        </is>
      </c>
      <c r="O763" s="5" t="inlineStr"/>
      <c r="P763" s="5" t="inlineStr"/>
      <c r="Q763" s="5" t="inlineStr"/>
      <c r="R763" s="5" t="inlineStr"/>
    </row>
    <row r="764" ht="20" customHeight="1">
      <c r="A764" s="2" t="inlineStr">
        <is>
          <t>ST763</t>
        </is>
      </c>
      <c r="B764" s="3" t="inlineStr">
        <is>
          <t>What Is an EMI Moratorium and How Does Skipping EMIs Compound Your Debt?</t>
        </is>
      </c>
      <c r="C764" s="2" t="inlineStr">
        <is>
          <t>Finance</t>
        </is>
      </c>
      <c r="D764" s="3" t="inlineStr">
        <is>
          <t>EMI</t>
        </is>
      </c>
      <c r="E764" s="2" t="inlineStr">
        <is>
          <t>Explanation</t>
        </is>
      </c>
      <c r="F764" s="2" t="inlineStr">
        <is>
          <t>Educational</t>
        </is>
      </c>
      <c r="G764" s="3" t="inlineStr">
        <is>
          <t>how loan moratorium increases total interest</t>
        </is>
      </c>
      <c r="H764" s="3" t="inlineStr">
        <is>
          <t>skipping emi compound interest, moratorium trap explained, compounding during loan freeze</t>
        </is>
      </c>
      <c r="I764" s="3" t="inlineStr">
        <is>
          <t>EMI Calculator</t>
        </is>
      </c>
      <c r="J764" s="3" t="inlineStr">
        <is>
          <t>/finance/emi-calculator</t>
        </is>
      </c>
      <c r="K764" s="3" t="inlineStr">
        <is>
          <t>Show how unpaid interest during a moratorium is added to the principal balance, causing interest to compound on interest and dramatically lengthening tenure.</t>
        </is>
      </c>
      <c r="L764" s="2" t="inlineStr">
        <is>
          <t>YES</t>
        </is>
      </c>
      <c r="M764" s="2" t="inlineStr">
        <is>
          <t>HIGH</t>
        </is>
      </c>
      <c r="N764" s="2" t="inlineStr">
        <is>
          <t>READY</t>
        </is>
      </c>
      <c r="O764" s="3" t="inlineStr"/>
      <c r="P764" s="3" t="inlineStr"/>
      <c r="Q764" s="3" t="inlineStr"/>
      <c r="R764" s="3" t="inlineStr"/>
    </row>
    <row r="765" ht="20" customHeight="1">
      <c r="A765" s="4" t="inlineStr">
        <is>
          <t>ST764</t>
        </is>
      </c>
      <c r="B765" s="5" t="inlineStr">
        <is>
          <t>How Gold Loan Interest Rates and EMIs Compare to Personal Loans</t>
        </is>
      </c>
      <c r="C765" s="4" t="inlineStr">
        <is>
          <t>Finance</t>
        </is>
      </c>
      <c r="D765" s="5" t="inlineStr">
        <is>
          <t>EMI</t>
        </is>
      </c>
      <c r="E765" s="4" t="inlineStr">
        <is>
          <t>Comparison</t>
        </is>
      </c>
      <c r="F765" s="4" t="inlineStr">
        <is>
          <t>Comparison</t>
        </is>
      </c>
      <c r="G765" s="5" t="inlineStr">
        <is>
          <t>gold loan vs personal loan interest and emi</t>
        </is>
      </c>
      <c r="H765" s="5" t="inlineStr">
        <is>
          <t>bullet repayment vs monthly emi gold loan, ltv ratio gold loan, cheapest emergency loan option</t>
        </is>
      </c>
      <c r="I765" s="5" t="inlineStr">
        <is>
          <t>EMI Calculator</t>
        </is>
      </c>
      <c r="J765" s="5" t="inlineStr">
        <is>
          <t>/finance/emi-calculator</t>
        </is>
      </c>
      <c r="K765" s="5" t="inlineStr">
        <is>
          <t>Compare secured gold loans (lower 8-11% interest, flexible bullet repayment of interest-only) with structured monthly amortizing personal loans.</t>
        </is>
      </c>
      <c r="L765" s="4" t="inlineStr">
        <is>
          <t>YES</t>
        </is>
      </c>
      <c r="M765" s="4" t="inlineStr">
        <is>
          <t>HIGH</t>
        </is>
      </c>
      <c r="N765" s="4" t="inlineStr">
        <is>
          <t>READY</t>
        </is>
      </c>
      <c r="O765" s="5" t="inlineStr"/>
      <c r="P765" s="5" t="inlineStr"/>
      <c r="Q765" s="5" t="inlineStr"/>
      <c r="R765" s="5" t="inlineStr"/>
    </row>
    <row r="766" ht="20" customHeight="1">
      <c r="A766" s="2" t="inlineStr">
        <is>
          <t>ST765</t>
        </is>
      </c>
      <c r="B766" s="3" t="inlineStr">
        <is>
          <t>Understanding Overdraft Home Loans (SBI Maxgain / Home Loan Max): Interest Savings Math</t>
        </is>
      </c>
      <c r="C766" s="2" t="inlineStr">
        <is>
          <t>Finance</t>
        </is>
      </c>
      <c r="D766" s="3" t="inlineStr">
        <is>
          <t>EMI</t>
        </is>
      </c>
      <c r="E766" s="2" t="inlineStr">
        <is>
          <t>Guide</t>
        </is>
      </c>
      <c r="F766" s="2" t="inlineStr">
        <is>
          <t>How-To</t>
        </is>
      </c>
      <c r="G766" s="3" t="inlineStr">
        <is>
          <t>sbi maxgain home loan calculation</t>
        </is>
      </c>
      <c r="H766" s="3" t="inlineStr">
        <is>
          <t>home loan overdraft account how it works, saving interest parking surplus cash, maxgain vs regular home loan</t>
        </is>
      </c>
      <c r="I766" s="3" t="inlineStr">
        <is>
          <t>EMI Calculator</t>
        </is>
      </c>
      <c r="J766" s="3" t="inlineStr">
        <is>
          <t>/finance/emi-calculator</t>
        </is>
      </c>
      <c r="K766" s="3" t="inlineStr">
        <is>
          <t>Demonstrate how depositing spare salary into an overdraft savings account linked to the home loan offsets daily principal, slashing interest without locking cash.</t>
        </is>
      </c>
      <c r="L766" s="2" t="inlineStr">
        <is>
          <t>YES</t>
        </is>
      </c>
      <c r="M766" s="2" t="inlineStr">
        <is>
          <t>HIGH</t>
        </is>
      </c>
      <c r="N766" s="2" t="inlineStr">
        <is>
          <t>READY</t>
        </is>
      </c>
      <c r="O766" s="3" t="inlineStr"/>
      <c r="P766" s="3" t="inlineStr"/>
      <c r="Q766" s="3" t="inlineStr"/>
      <c r="R766" s="3" t="inlineStr"/>
    </row>
    <row r="767" ht="20" customHeight="1">
      <c r="A767" s="4" t="inlineStr">
        <is>
          <t>ST766</t>
        </is>
      </c>
      <c r="B767" s="5" t="inlineStr">
        <is>
          <t>How Two Co-Applicants for a Home Loan Maximize Tax Relief and Borrowing Eligibility</t>
        </is>
      </c>
      <c r="C767" s="4" t="inlineStr">
        <is>
          <t>Finance</t>
        </is>
      </c>
      <c r="D767" s="5" t="inlineStr">
        <is>
          <t>EMI</t>
        </is>
      </c>
      <c r="E767" s="4" t="inlineStr">
        <is>
          <t>Guide</t>
        </is>
      </c>
      <c r="F767" s="4" t="inlineStr">
        <is>
          <t>Planning</t>
        </is>
      </c>
      <c r="G767" s="5" t="inlineStr">
        <is>
          <t>joint home loan eligibility and tax benefits</t>
        </is>
      </c>
      <c r="H767" s="5" t="inlineStr">
        <is>
          <t>double tax deduction joint home loan, co applicant home loan calculation, spouse joint home loan benefits</t>
        </is>
      </c>
      <c r="I767" s="5" t="inlineStr">
        <is>
          <t>EMI Calculator</t>
        </is>
      </c>
      <c r="J767" s="5" t="inlineStr">
        <is>
          <t>/finance/emi-calculator</t>
        </is>
      </c>
      <c r="K767" s="5" t="inlineStr">
        <is>
          <t>Explain how husband and wife co-owners can each claim up to Rs 2 Lakh on interest (Rs 4 Lakh total) and Rs 1.5 Lakh each under Section 80C.</t>
        </is>
      </c>
      <c r="L767" s="4" t="inlineStr">
        <is>
          <t>YES</t>
        </is>
      </c>
      <c r="M767" s="4" t="inlineStr">
        <is>
          <t>HIGH</t>
        </is>
      </c>
      <c r="N767" s="4" t="inlineStr">
        <is>
          <t>READY</t>
        </is>
      </c>
      <c r="O767" s="5" t="inlineStr"/>
      <c r="P767" s="5" t="inlineStr"/>
      <c r="Q767" s="5" t="inlineStr"/>
      <c r="R767" s="5" t="inlineStr"/>
    </row>
    <row r="768" ht="20" customHeight="1">
      <c r="A768" s="2" t="inlineStr">
        <is>
          <t>ST767</t>
        </is>
      </c>
      <c r="B768" s="3" t="inlineStr">
        <is>
          <t>How to Calculate Daily Interest on Loan Defaults and Penal Charges</t>
        </is>
      </c>
      <c r="C768" s="2" t="inlineStr">
        <is>
          <t>Finance</t>
        </is>
      </c>
      <c r="D768" s="3" t="inlineStr">
        <is>
          <t>EMI</t>
        </is>
      </c>
      <c r="E768" s="2" t="inlineStr">
        <is>
          <t>Formula Guide</t>
        </is>
      </c>
      <c r="F768" s="2" t="inlineStr">
        <is>
          <t>How-To</t>
        </is>
      </c>
      <c r="G768" s="3" t="inlineStr">
        <is>
          <t>how bank calculates penal interest on bounced emi</t>
        </is>
      </c>
      <c r="H768" s="3" t="inlineStr">
        <is>
          <t>bounced emi penalty formula, late payment charges loan, 2 percent penal interest calculation</t>
        </is>
      </c>
      <c r="I768" s="3" t="inlineStr">
        <is>
          <t>EMI Calculator</t>
        </is>
      </c>
      <c r="J768" s="3" t="inlineStr">
        <is>
          <t>/finance/emi-calculator</t>
        </is>
      </c>
      <c r="K768" s="3" t="inlineStr">
        <is>
          <t>Formula: Penal Interest = (Overdue Amount * Penal Rate * Days Overdue) / 365. Explain ECS/NACH bounce fees and severe credit score degradation.</t>
        </is>
      </c>
      <c r="L768" s="2" t="inlineStr">
        <is>
          <t>YES</t>
        </is>
      </c>
      <c r="M768" s="2" t="inlineStr">
        <is>
          <t>MEDIUM</t>
        </is>
      </c>
      <c r="N768" s="2" t="inlineStr">
        <is>
          <t>READY</t>
        </is>
      </c>
      <c r="O768" s="3" t="inlineStr"/>
      <c r="P768" s="3" t="inlineStr"/>
      <c r="Q768" s="3" t="inlineStr"/>
      <c r="R768" s="3" t="inlineStr"/>
    </row>
    <row r="769" ht="20" customHeight="1">
      <c r="A769" s="4" t="inlineStr">
        <is>
          <t>ST768</t>
        </is>
      </c>
      <c r="B769" s="5" t="inlineStr">
        <is>
          <t>Fixed Obligation to Income Ratio (FOIR): How Banks Calculate Your Maximum Loan Eligibility</t>
        </is>
      </c>
      <c r="C769" s="4" t="inlineStr">
        <is>
          <t>Finance</t>
        </is>
      </c>
      <c r="D769" s="5" t="inlineStr">
        <is>
          <t>EMI</t>
        </is>
      </c>
      <c r="E769" s="4" t="inlineStr">
        <is>
          <t>Formula Guide</t>
        </is>
      </c>
      <c r="F769" s="4" t="inlineStr">
        <is>
          <t>Reference</t>
        </is>
      </c>
      <c r="G769" s="5" t="inlineStr">
        <is>
          <t>foir calculation formula banks</t>
        </is>
      </c>
      <c r="H769" s="5" t="inlineStr">
        <is>
          <t>how much home loan can i get based on salary, foir ratio explained, bank loan eligibility formula</t>
        </is>
      </c>
      <c r="I769" s="5" t="inlineStr">
        <is>
          <t>EMI Calculator</t>
        </is>
      </c>
      <c r="J769" s="5" t="inlineStr">
        <is>
          <t>/finance/emi-calculator</t>
        </is>
      </c>
      <c r="K769" s="5" t="inlineStr">
        <is>
          <t>Formula: FOIR = (Total Existing Monthly EMIs + Proposed EMI) / Net Monthly Income. Explain how banks cap this at 50% to determine loan size.</t>
        </is>
      </c>
      <c r="L769" s="4" t="inlineStr">
        <is>
          <t>YES</t>
        </is>
      </c>
      <c r="M769" s="4" t="inlineStr">
        <is>
          <t>HIGH</t>
        </is>
      </c>
      <c r="N769" s="4" t="inlineStr">
        <is>
          <t>READY</t>
        </is>
      </c>
      <c r="O769" s="5" t="inlineStr"/>
      <c r="P769" s="5" t="inlineStr"/>
      <c r="Q769" s="5" t="inlineStr"/>
      <c r="R769" s="5" t="inlineStr"/>
    </row>
    <row r="770" ht="20" customHeight="1">
      <c r="A770" s="2" t="inlineStr">
        <is>
          <t>ST769</t>
        </is>
      </c>
      <c r="B770" s="3" t="inlineStr">
        <is>
          <t>Tenure vs Interest Trade-Off: Why a 30-Year Loan Is a High-Cost Mistake</t>
        </is>
      </c>
      <c r="C770" s="2" t="inlineStr">
        <is>
          <t>Finance</t>
        </is>
      </c>
      <c r="D770" s="3" t="inlineStr">
        <is>
          <t>EMI</t>
        </is>
      </c>
      <c r="E770" s="2" t="inlineStr">
        <is>
          <t>Comparison</t>
        </is>
      </c>
      <c r="F770" s="2" t="inlineStr">
        <is>
          <t>Educational</t>
        </is>
      </c>
      <c r="G770" s="3" t="inlineStr">
        <is>
          <t>20 year vs 30 year home loan comparison</t>
        </is>
      </c>
      <c r="H770" s="3" t="inlineStr">
        <is>
          <t>why 30 year loan costs too much, comparing total interest 20 vs 30 years, optimal home loan tenure</t>
        </is>
      </c>
      <c r="I770" s="3" t="inlineStr">
        <is>
          <t>EMI Calculator</t>
        </is>
      </c>
      <c r="J770" s="3" t="inlineStr">
        <is>
          <t>/finance/emi-calculator</t>
        </is>
      </c>
      <c r="K770" s="3" t="inlineStr">
        <is>
          <t>Demonstrate with side-by-side charts: a 30-year loan reduces monthly EMI by only 9%, while increasing total interest paid by a staggering 60%.</t>
        </is>
      </c>
      <c r="L770" s="2" t="inlineStr">
        <is>
          <t>YES</t>
        </is>
      </c>
      <c r="M770" s="2" t="inlineStr">
        <is>
          <t>HIGH</t>
        </is>
      </c>
      <c r="N770" s="2" t="inlineStr">
        <is>
          <t>READY</t>
        </is>
      </c>
      <c r="O770" s="3" t="inlineStr"/>
      <c r="P770" s="3" t="inlineStr"/>
      <c r="Q770" s="3" t="inlineStr"/>
      <c r="R770" s="3" t="inlineStr"/>
    </row>
    <row r="771" ht="20" customHeight="1">
      <c r="A771" s="4" t="inlineStr">
        <is>
          <t>ST770</t>
        </is>
      </c>
      <c r="B771" s="5" t="inlineStr">
        <is>
          <t>How to Calculate Loan EMI When Interest Is Compounded Monthly vs Quarterly</t>
        </is>
      </c>
      <c r="C771" s="4" t="inlineStr">
        <is>
          <t>Finance</t>
        </is>
      </c>
      <c r="D771" s="5" t="inlineStr">
        <is>
          <t>EMI</t>
        </is>
      </c>
      <c r="E771" s="4" t="inlineStr">
        <is>
          <t>Explanation</t>
        </is>
      </c>
      <c r="F771" s="4" t="inlineStr">
        <is>
          <t>Educational</t>
        </is>
      </c>
      <c r="G771" s="5" t="inlineStr">
        <is>
          <t>compounding frequency in loan emi calculation</t>
        </is>
      </c>
      <c r="H771" s="5" t="inlineStr">
        <is>
          <t>monthly vs quarterly compounding loans, nominal vs effective rate loan, compounding impact emi</t>
        </is>
      </c>
      <c r="I771" s="5" t="inlineStr">
        <is>
          <t>EMI Calculator</t>
        </is>
      </c>
      <c r="J771" s="5" t="inlineStr">
        <is>
          <t>/finance/emi-calculator</t>
        </is>
      </c>
      <c r="K771" s="5" t="inlineStr">
        <is>
          <t>Explain compounding conversions: Effective Annual Rate (EAR) = (1 + r/m)^m - 1, and why Indian home loans strictly use monthly reducing balances.</t>
        </is>
      </c>
      <c r="L771" s="4" t="inlineStr">
        <is>
          <t>YES</t>
        </is>
      </c>
      <c r="M771" s="4" t="inlineStr">
        <is>
          <t>MEDIUM</t>
        </is>
      </c>
      <c r="N771" s="4" t="inlineStr">
        <is>
          <t>READY</t>
        </is>
      </c>
      <c r="O771" s="5" t="inlineStr"/>
      <c r="P771" s="5" t="inlineStr"/>
      <c r="Q771" s="5" t="inlineStr"/>
      <c r="R771" s="5" t="inlineStr"/>
    </row>
    <row r="772" ht="20" customHeight="1">
      <c r="A772" s="2" t="inlineStr">
        <is>
          <t>ST771</t>
        </is>
      </c>
      <c r="B772" s="3" t="inlineStr">
        <is>
          <t>How Credit Card Revolving Debt Compounds: The 42% Annual Interest Nightmare</t>
        </is>
      </c>
      <c r="C772" s="2" t="inlineStr">
        <is>
          <t>Finance</t>
        </is>
      </c>
      <c r="D772" s="3" t="inlineStr">
        <is>
          <t>EMI</t>
        </is>
      </c>
      <c r="E772" s="2" t="inlineStr">
        <is>
          <t>Explanation</t>
        </is>
      </c>
      <c r="F772" s="2" t="inlineStr">
        <is>
          <t>Educational</t>
        </is>
      </c>
      <c r="G772" s="3" t="inlineStr">
        <is>
          <t>how credit card minimum due trap works</t>
        </is>
      </c>
      <c r="H772" s="3" t="inlineStr">
        <is>
          <t>credit card revolving interest calculation, 3.5 percent per month interest credit card, paying only minimum amount due</t>
        </is>
      </c>
      <c r="I772" s="3" t="inlineStr">
        <is>
          <t>EMI Calculator</t>
        </is>
      </c>
      <c r="J772" s="3" t="inlineStr">
        <is>
          <t>/finance/emi-calculator</t>
        </is>
      </c>
      <c r="K772" s="3" t="inlineStr">
        <is>
          <t>Expose the minimum-due trap: paying 5% minimum keeps card active while remaining balance accrues 3.5% monthly (42%+ annualized), taking 15+ years to clear.</t>
        </is>
      </c>
      <c r="L772" s="2" t="inlineStr">
        <is>
          <t>YES</t>
        </is>
      </c>
      <c r="M772" s="2" t="inlineStr">
        <is>
          <t>HIGH</t>
        </is>
      </c>
      <c r="N772" s="2" t="inlineStr">
        <is>
          <t>READY</t>
        </is>
      </c>
      <c r="O772" s="3" t="inlineStr"/>
      <c r="P772" s="3" t="inlineStr"/>
      <c r="Q772" s="3" t="inlineStr"/>
      <c r="R772" s="3" t="inlineStr"/>
    </row>
    <row r="773" ht="20" customHeight="1">
      <c r="A773" s="4" t="inlineStr">
        <is>
          <t>ST772</t>
        </is>
      </c>
      <c r="B773" s="5" t="inlineStr">
        <is>
          <t>Converting Credit Card Transactions to EMIs: Hidden Charges, GST, and Interest Reality</t>
        </is>
      </c>
      <c r="C773" s="4" t="inlineStr">
        <is>
          <t>Finance</t>
        </is>
      </c>
      <c r="D773" s="5" t="inlineStr">
        <is>
          <t>EMI</t>
        </is>
      </c>
      <c r="E773" s="4" t="inlineStr">
        <is>
          <t>Guide</t>
        </is>
      </c>
      <c r="F773" s="4" t="inlineStr">
        <is>
          <t>How-To</t>
        </is>
      </c>
      <c r="G773" s="5" t="inlineStr">
        <is>
          <t>credit card transaction to emi calculation</t>
        </is>
      </c>
      <c r="H773" s="5" t="inlineStr">
        <is>
          <t>is credit card emi worth it, processing fee credit card emi, gst on monthly credit card emi interest</t>
        </is>
      </c>
      <c r="I773" s="5" t="inlineStr">
        <is>
          <t>EMI Calculator</t>
        </is>
      </c>
      <c r="J773" s="5" t="inlineStr">
        <is>
          <t>/finance/emi-calculator</t>
        </is>
      </c>
      <c r="K773" s="5" t="inlineStr">
        <is>
          <t>Walk through a Rs 50,000 card conversion at 15% interest: 1% processing fee + 18% GST on processing fee + 18% GST on monthly interest charges.</t>
        </is>
      </c>
      <c r="L773" s="4" t="inlineStr">
        <is>
          <t>YES</t>
        </is>
      </c>
      <c r="M773" s="4" t="inlineStr">
        <is>
          <t>HIGH</t>
        </is>
      </c>
      <c r="N773" s="4" t="inlineStr">
        <is>
          <t>READY</t>
        </is>
      </c>
      <c r="O773" s="5" t="inlineStr"/>
      <c r="P773" s="5" t="inlineStr"/>
      <c r="Q773" s="5" t="inlineStr"/>
      <c r="R773" s="5" t="inlineStr"/>
    </row>
    <row r="774" ht="20" customHeight="1">
      <c r="A774" s="2" t="inlineStr">
        <is>
          <t>ST773</t>
        </is>
      </c>
      <c r="B774" s="3" t="inlineStr">
        <is>
          <t>How to Budget for Down Payment, Stamp Duty, and Registration Charges Before Taking a Home Loan</t>
        </is>
      </c>
      <c r="C774" s="2" t="inlineStr">
        <is>
          <t>Finance</t>
        </is>
      </c>
      <c r="D774" s="3" t="inlineStr">
        <is>
          <t>EMI</t>
        </is>
      </c>
      <c r="E774" s="2" t="inlineStr">
        <is>
          <t>Planning Guide</t>
        </is>
      </c>
      <c r="F774" s="2" t="inlineStr">
        <is>
          <t>Planning</t>
        </is>
      </c>
      <c r="G774" s="3" t="inlineStr">
        <is>
          <t>hidden costs of buying a home in india</t>
        </is>
      </c>
      <c r="H774" s="3" t="inlineStr">
        <is>
          <t>stamp duty and registration calculation, 20 percent down payment home loan, out of pocket expenses buying flat</t>
        </is>
      </c>
      <c r="I774" s="3" t="inlineStr">
        <is>
          <t>EMI Calculator</t>
        </is>
      </c>
      <c r="J774" s="3" t="inlineStr">
        <is>
          <t>/finance/emi-calculator</t>
        </is>
      </c>
      <c r="K774" s="3" t="inlineStr">
        <is>
          <t>Explain bank Loan-to-Value (LTV) limits (up to 80% of property cost), meaning buyers must provide 20% down payment + 6-8% stamp duty in pure liquid cash.</t>
        </is>
      </c>
      <c r="L774" s="2" t="inlineStr">
        <is>
          <t>YES</t>
        </is>
      </c>
      <c r="M774" s="2" t="inlineStr">
        <is>
          <t>HIGH</t>
        </is>
      </c>
      <c r="N774" s="2" t="inlineStr">
        <is>
          <t>READY</t>
        </is>
      </c>
      <c r="O774" s="3" t="inlineStr"/>
      <c r="P774" s="3" t="inlineStr"/>
      <c r="Q774" s="3" t="inlineStr"/>
      <c r="R774" s="3" t="inlineStr"/>
    </row>
    <row r="775" ht="20" customHeight="1">
      <c r="A775" s="4" t="inlineStr">
        <is>
          <t>ST774</t>
        </is>
      </c>
      <c r="B775" s="5" t="inlineStr">
        <is>
          <t>How Foreclosure of Personal Loan Saves Interest: The Break-Even Analysis</t>
        </is>
      </c>
      <c r="C775" s="4" t="inlineStr">
        <is>
          <t>Finance</t>
        </is>
      </c>
      <c r="D775" s="5" t="inlineStr">
        <is>
          <t>EMI</t>
        </is>
      </c>
      <c r="E775" s="4" t="inlineStr">
        <is>
          <t>How-To</t>
        </is>
      </c>
      <c r="F775" s="4" t="inlineStr">
        <is>
          <t>How-To</t>
        </is>
      </c>
      <c r="G775" s="5" t="inlineStr">
        <is>
          <t>should i foreclose my personal loan early</t>
        </is>
      </c>
      <c r="H775" s="5" t="inlineStr">
        <is>
          <t>foreclosure calculation personal loan, prepayment penalty personal loan, interest saved by early closure</t>
        </is>
      </c>
      <c r="I775" s="5" t="inlineStr">
        <is>
          <t>EMI Calculator</t>
        </is>
      </c>
      <c r="J775" s="5" t="inlineStr">
        <is>
          <t>/finance/emi-calculator</t>
        </is>
      </c>
      <c r="K775" s="5" t="inlineStr">
        <is>
          <t>Step-by-step calculation: determine remaining principal balance from amortization schedule, factor in 2-4% foreclosure fee, and compare against remaining interest.</t>
        </is>
      </c>
      <c r="L775" s="4" t="inlineStr">
        <is>
          <t>YES</t>
        </is>
      </c>
      <c r="M775" s="4" t="inlineStr">
        <is>
          <t>HIGH</t>
        </is>
      </c>
      <c r="N775" s="4" t="inlineStr">
        <is>
          <t>READY</t>
        </is>
      </c>
      <c r="O775" s="5" t="inlineStr"/>
      <c r="P775" s="5" t="inlineStr"/>
      <c r="Q775" s="5" t="inlineStr"/>
      <c r="R775" s="5" t="inlineStr"/>
    </row>
    <row r="776" ht="20" customHeight="1">
      <c r="A776" s="2" t="inlineStr">
        <is>
          <t>ST775</t>
        </is>
      </c>
      <c r="B776" s="3" t="inlineStr">
        <is>
          <t>Summary Guide: Essential Formulas for EMI, Amortization, and Prepayment Strategies</t>
        </is>
      </c>
      <c r="C776" s="2" t="inlineStr">
        <is>
          <t>Finance</t>
        </is>
      </c>
      <c r="D776" s="3" t="inlineStr">
        <is>
          <t>EMI</t>
        </is>
      </c>
      <c r="E776" s="2" t="inlineStr">
        <is>
          <t>Formula Guide</t>
        </is>
      </c>
      <c r="F776" s="2" t="inlineStr">
        <is>
          <t>Reference</t>
        </is>
      </c>
      <c r="G776" s="3" t="inlineStr">
        <is>
          <t>loan emi formulas summary</t>
        </is>
      </c>
      <c r="H776" s="3" t="inlineStr">
        <is>
          <t>all loan formulas cheat sheet, reducing balance amortization formulas, prepayment math guide</t>
        </is>
      </c>
      <c r="I776" s="3" t="inlineStr">
        <is>
          <t>EMI Calculator</t>
        </is>
      </c>
      <c r="J776" s="3" t="inlineStr">
        <is>
          <t>/finance/emi-calculator</t>
        </is>
      </c>
      <c r="K776" s="3" t="inlineStr">
        <is>
          <t>Consolidated reference sheet of all fundamental loan mathematics: EMI equation, monthly rate calculation, principal split, and prepayment savings formulas.</t>
        </is>
      </c>
      <c r="L776" s="2" t="inlineStr">
        <is>
          <t>YES</t>
        </is>
      </c>
      <c r="M776" s="2" t="inlineStr">
        <is>
          <t>HIGH</t>
        </is>
      </c>
      <c r="N776" s="2" t="inlineStr">
        <is>
          <t>READY</t>
        </is>
      </c>
      <c r="O776" s="3" t="inlineStr"/>
      <c r="P776" s="3" t="inlineStr"/>
      <c r="Q776" s="3" t="inlineStr"/>
      <c r="R776" s="3" t="inlineStr"/>
    </row>
    <row r="777" ht="20" customHeight="1">
      <c r="A777" s="4" t="inlineStr">
        <is>
          <t>ST776</t>
        </is>
      </c>
      <c r="B777" s="5" t="inlineStr">
        <is>
          <t>How Mutual Fund SIP (Systematic Investment Plan) Returns Are Calculated: The Mathematical Formula</t>
        </is>
      </c>
      <c r="C777" s="4" t="inlineStr">
        <is>
          <t>Finance</t>
        </is>
      </c>
      <c r="D777" s="5" t="inlineStr">
        <is>
          <t>SIP</t>
        </is>
      </c>
      <c r="E777" s="4" t="inlineStr">
        <is>
          <t>Formula Guide</t>
        </is>
      </c>
      <c r="F777" s="4" t="inlineStr">
        <is>
          <t>How-To</t>
        </is>
      </c>
      <c r="G777" s="5" t="inlineStr">
        <is>
          <t>how sip returns are calculated</t>
        </is>
      </c>
      <c r="H777" s="5" t="inlineStr">
        <is>
          <t>sip formula, systematic investment plan calculation, future value of sip formula, compound interest in sip</t>
        </is>
      </c>
      <c r="I777" s="5" t="inlineStr">
        <is>
          <t>SIP Calculator</t>
        </is>
      </c>
      <c r="J777" s="5" t="inlineStr">
        <is>
          <t>/finance/sip-calculator</t>
        </is>
      </c>
      <c r="K777" s="5" t="inlineStr">
        <is>
          <t>Break down the Future Value formula: FV = P * [((1 + i)^n - 1) / i] * (1 + i). Explain monthly investment (P), monthly rate (i), and months (n), with worked examples.</t>
        </is>
      </c>
      <c r="L777" s="4" t="inlineStr">
        <is>
          <t>YES</t>
        </is>
      </c>
      <c r="M777" s="4" t="inlineStr">
        <is>
          <t>HIGH</t>
        </is>
      </c>
      <c r="N777" s="4" t="inlineStr">
        <is>
          <t>READY</t>
        </is>
      </c>
      <c r="O777" s="5" t="inlineStr"/>
      <c r="P777" s="5" t="inlineStr"/>
      <c r="Q777" s="5" t="inlineStr"/>
      <c r="R777" s="5" t="inlineStr"/>
    </row>
    <row r="778" ht="20" customHeight="1">
      <c r="A778" s="2" t="inlineStr">
        <is>
          <t>ST777</t>
        </is>
      </c>
      <c r="B778" s="3" t="inlineStr">
        <is>
          <t>SIP vs Lumpsum Investment: Which One Generates Higher Returns Over 10 Years?</t>
        </is>
      </c>
      <c r="C778" s="2" t="inlineStr">
        <is>
          <t>Finance</t>
        </is>
      </c>
      <c r="D778" s="3" t="inlineStr">
        <is>
          <t>SIP</t>
        </is>
      </c>
      <c r="E778" s="2" t="inlineStr">
        <is>
          <t>Comparison</t>
        </is>
      </c>
      <c r="F778" s="2" t="inlineStr">
        <is>
          <t>Comparison</t>
        </is>
      </c>
      <c r="G778" s="3" t="inlineStr">
        <is>
          <t>sip vs lumpsum investment</t>
        </is>
      </c>
      <c r="H778" s="3" t="inlineStr">
        <is>
          <t>difference between sip and lumpsum, rupee cost averaging vs market timing, mutual fund lumpsum comparison</t>
        </is>
      </c>
      <c r="I778" s="3" t="inlineStr">
        <is>
          <t>SIP Calculator</t>
        </is>
      </c>
      <c r="J778" s="3" t="inlineStr">
        <is>
          <t>/finance/sip-calculator</t>
        </is>
      </c>
      <c r="K778" s="3" t="inlineStr">
        <is>
          <t>Compare systematic rupee-cost averaging against lump-sum deployment, showing how SIPs neutralize market volatility and sequence-of-returns risk.</t>
        </is>
      </c>
      <c r="L778" s="2" t="inlineStr">
        <is>
          <t>YES</t>
        </is>
      </c>
      <c r="M778" s="2" t="inlineStr">
        <is>
          <t>HIGH</t>
        </is>
      </c>
      <c r="N778" s="2" t="inlineStr">
        <is>
          <t>READY</t>
        </is>
      </c>
      <c r="O778" s="3" t="inlineStr"/>
      <c r="P778" s="3" t="inlineStr"/>
      <c r="Q778" s="3" t="inlineStr"/>
      <c r="R778" s="3" t="inlineStr"/>
    </row>
    <row r="779" ht="20" customHeight="1">
      <c r="A779" s="4" t="inlineStr">
        <is>
          <t>ST778</t>
        </is>
      </c>
      <c r="B779" s="5" t="inlineStr">
        <is>
          <t>How Rupee Cost Averaging Works in a Volatile or Falling Stock Market</t>
        </is>
      </c>
      <c r="C779" s="4" t="inlineStr">
        <is>
          <t>Finance</t>
        </is>
      </c>
      <c r="D779" s="5" t="inlineStr">
        <is>
          <t>SIP</t>
        </is>
      </c>
      <c r="E779" s="4" t="inlineStr">
        <is>
          <t>Explanation</t>
        </is>
      </c>
      <c r="F779" s="4" t="inlineStr">
        <is>
          <t>Educational</t>
        </is>
      </c>
      <c r="G779" s="5" t="inlineStr">
        <is>
          <t>how rupee cost averaging works in sip</t>
        </is>
      </c>
      <c r="H779" s="5" t="inlineStr">
        <is>
          <t>rupee cost averaging formula, buying more units in market crash, volatility advantage sip</t>
        </is>
      </c>
      <c r="I779" s="5" t="inlineStr">
        <is>
          <t>SIP Calculator</t>
        </is>
      </c>
      <c r="J779" s="5" t="inlineStr">
        <is>
          <t>/finance/sip-calculator</t>
        </is>
      </c>
      <c r="K779" s="5" t="inlineStr">
        <is>
          <t>Illustrate with NAV tables: when markets plunge, a fixed Rs 5,000 monthly SIP buys more mutual fund units at lower NAV, accelerating returns when markets recover.</t>
        </is>
      </c>
      <c r="L779" s="4" t="inlineStr">
        <is>
          <t>YES</t>
        </is>
      </c>
      <c r="M779" s="4" t="inlineStr">
        <is>
          <t>HIGH</t>
        </is>
      </c>
      <c r="N779" s="4" t="inlineStr">
        <is>
          <t>READY</t>
        </is>
      </c>
      <c r="O779" s="5" t="inlineStr"/>
      <c r="P779" s="5" t="inlineStr"/>
      <c r="Q779" s="5" t="inlineStr"/>
      <c r="R779" s="5" t="inlineStr"/>
    </row>
    <row r="780" ht="20" customHeight="1">
      <c r="A780" s="2" t="inlineStr">
        <is>
          <t>ST779</t>
        </is>
      </c>
      <c r="B780" s="3" t="inlineStr">
        <is>
          <t>CAGR vs XIRR vs Absolute Returns in Mutual Funds: Why XIRR Is Mandatory for SIPs</t>
        </is>
      </c>
      <c r="C780" s="2" t="inlineStr">
        <is>
          <t>Finance</t>
        </is>
      </c>
      <c r="D780" s="3" t="inlineStr">
        <is>
          <t>SIP</t>
        </is>
      </c>
      <c r="E780" s="2" t="inlineStr">
        <is>
          <t>Comparison</t>
        </is>
      </c>
      <c r="F780" s="2" t="inlineStr">
        <is>
          <t>Educational</t>
        </is>
      </c>
      <c r="G780" s="3" t="inlineStr">
        <is>
          <t>difference between cagr and xirr in mutual funds</t>
        </is>
      </c>
      <c r="H780" s="3" t="inlineStr">
        <is>
          <t>why xirr is used for sip, absolute returns vs cagr, mutual fund return metrics explained</t>
        </is>
      </c>
      <c r="I780" s="3" t="inlineStr">
        <is>
          <t>SIP Calculator</t>
        </is>
      </c>
      <c r="J780" s="3" t="inlineStr">
        <is>
          <t>/finance/sip-calculator</t>
        </is>
      </c>
      <c r="K780" s="3" t="inlineStr">
        <is>
          <t>Clarify why CAGR only works for single lump-sums, while XIRR (Extended Internal Rate of Return) accounts for multiple cash inflows at different calendar dates.</t>
        </is>
      </c>
      <c r="L780" s="2" t="inlineStr">
        <is>
          <t>YES</t>
        </is>
      </c>
      <c r="M780" s="2" t="inlineStr">
        <is>
          <t>HIGH</t>
        </is>
      </c>
      <c r="N780" s="2" t="inlineStr">
        <is>
          <t>READY</t>
        </is>
      </c>
      <c r="O780" s="3" t="inlineStr"/>
      <c r="P780" s="3" t="inlineStr"/>
      <c r="Q780" s="3" t="inlineStr"/>
      <c r="R780" s="3" t="inlineStr"/>
    </row>
    <row r="781" ht="20" customHeight="1">
      <c r="A781" s="4" t="inlineStr">
        <is>
          <t>ST780</t>
        </is>
      </c>
      <c r="B781" s="5" t="inlineStr">
        <is>
          <t>Step-Up SIP: How Increasing Your Investment by 10% Every Year Creates 2x More Wealth</t>
        </is>
      </c>
      <c r="C781" s="4" t="inlineStr">
        <is>
          <t>Finance</t>
        </is>
      </c>
      <c r="D781" s="5" t="inlineStr">
        <is>
          <t>SIP</t>
        </is>
      </c>
      <c r="E781" s="4" t="inlineStr">
        <is>
          <t>Planning Guide</t>
        </is>
      </c>
      <c r="F781" s="4" t="inlineStr">
        <is>
          <t>Planning</t>
        </is>
      </c>
      <c r="G781" s="5" t="inlineStr">
        <is>
          <t>step up sip calculator benefits</t>
        </is>
      </c>
      <c r="H781" s="5" t="inlineStr">
        <is>
          <t>annual increment sip, top up sip wealth creation, increasing sip with salary hike</t>
        </is>
      </c>
      <c r="I781" s="5" t="inlineStr">
        <is>
          <t>SIP Calculator</t>
        </is>
      </c>
      <c r="J781" s="5" t="inlineStr">
        <is>
          <t>/finance/sip-calculator</t>
        </is>
      </c>
      <c r="K781" s="5" t="inlineStr">
        <is>
          <t>Demonstrate mathematical comparison: a flat Rs 10,000 SIP for 20 years yields Rs 1 Crore, while a 10% annual Step-Up SIP yields over Rs 2.1 Crore.</t>
        </is>
      </c>
      <c r="L781" s="4" t="inlineStr">
        <is>
          <t>YES</t>
        </is>
      </c>
      <c r="M781" s="4" t="inlineStr">
        <is>
          <t>HIGH</t>
        </is>
      </c>
      <c r="N781" s="4" t="inlineStr">
        <is>
          <t>READY</t>
        </is>
      </c>
      <c r="O781" s="5" t="inlineStr"/>
      <c r="P781" s="5" t="inlineStr"/>
      <c r="Q781" s="5" t="inlineStr"/>
      <c r="R781" s="5" t="inlineStr"/>
    </row>
    <row r="782" ht="20" customHeight="1">
      <c r="A782" s="2" t="inlineStr">
        <is>
          <t>ST781</t>
        </is>
      </c>
      <c r="B782" s="3" t="inlineStr">
        <is>
          <t>The Power of Compounding in SIP: Why the Last 5 Years Generate 60% of Your Total Wealth</t>
        </is>
      </c>
      <c r="C782" s="2" t="inlineStr">
        <is>
          <t>Finance</t>
        </is>
      </c>
      <c r="D782" s="3" t="inlineStr">
        <is>
          <t>SIP</t>
        </is>
      </c>
      <c r="E782" s="2" t="inlineStr">
        <is>
          <t>Explanation</t>
        </is>
      </c>
      <c r="F782" s="2" t="inlineStr">
        <is>
          <t>Educational</t>
        </is>
      </c>
      <c r="G782" s="3" t="inlineStr">
        <is>
          <t>power of compounding in sip mutual funds</t>
        </is>
      </c>
      <c r="H782" s="3" t="inlineStr">
        <is>
          <t>exponential growth in mutual funds, hockey stick curve compounding, long term sip benefits</t>
        </is>
      </c>
      <c r="I782" s="3" t="inlineStr">
        <is>
          <t>SIP Calculator</t>
        </is>
      </c>
      <c r="J782" s="3" t="inlineStr">
        <is>
          <t>/finance/sip-calculator</t>
        </is>
      </c>
      <c r="K782" s="3" t="inlineStr">
        <is>
          <t>Analyze the non-linear hockey stick curve: how returns in years 15-20 dwarf the initial 10 years because returns earn returns on an enormous accumulated base.</t>
        </is>
      </c>
      <c r="L782" s="2" t="inlineStr">
        <is>
          <t>YES</t>
        </is>
      </c>
      <c r="M782" s="2" t="inlineStr">
        <is>
          <t>HIGH</t>
        </is>
      </c>
      <c r="N782" s="2" t="inlineStr">
        <is>
          <t>READY</t>
        </is>
      </c>
      <c r="O782" s="3" t="inlineStr"/>
      <c r="P782" s="3" t="inlineStr"/>
      <c r="Q782" s="3" t="inlineStr"/>
      <c r="R782" s="3" t="inlineStr"/>
    </row>
    <row r="783" ht="20" customHeight="1">
      <c r="A783" s="4" t="inlineStr">
        <is>
          <t>ST782</t>
        </is>
      </c>
      <c r="B783" s="5" t="inlineStr">
        <is>
          <t>What Is a Realistic Expected Return Rate for Equity Mutual Fund SIPs in India? (10%, 12%, or 15%?)</t>
        </is>
      </c>
      <c r="C783" s="4" t="inlineStr">
        <is>
          <t>Finance</t>
        </is>
      </c>
      <c r="D783" s="5" t="inlineStr">
        <is>
          <t>SIP</t>
        </is>
      </c>
      <c r="E783" s="4" t="inlineStr">
        <is>
          <t>Guide</t>
        </is>
      </c>
      <c r="F783" s="4" t="inlineStr">
        <is>
          <t>Reference</t>
        </is>
      </c>
      <c r="G783" s="5" t="inlineStr">
        <is>
          <t>realistic returns on equity sip in india</t>
        </is>
      </c>
      <c r="H783" s="5" t="inlineStr">
        <is>
          <t>nifty 50 historical sip return, safe expected return mutual fund, why 15 percent return is unrealistic</t>
        </is>
      </c>
      <c r="I783" s="5" t="inlineStr">
        <is>
          <t>SIP Calculator</t>
        </is>
      </c>
      <c r="J783" s="5" t="inlineStr">
        <is>
          <t>/finance/sip-calculator</t>
        </is>
      </c>
      <c r="K783" s="5" t="inlineStr">
        <is>
          <t>Analyze 20-year rolling returns of Nifty 50 and Nifty 500: benchmark a realistic 11-13% for broad equity, warning against misleading 18-20% short-term extrapolations.</t>
        </is>
      </c>
      <c r="L783" s="4" t="inlineStr">
        <is>
          <t>YES</t>
        </is>
      </c>
      <c r="M783" s="4" t="inlineStr">
        <is>
          <t>HIGH</t>
        </is>
      </c>
      <c r="N783" s="4" t="inlineStr">
        <is>
          <t>READY</t>
        </is>
      </c>
      <c r="O783" s="5" t="inlineStr"/>
      <c r="P783" s="5" t="inlineStr"/>
      <c r="Q783" s="5" t="inlineStr"/>
      <c r="R783" s="5" t="inlineStr"/>
    </row>
    <row r="784" ht="20" customHeight="1">
      <c r="A784" s="2" t="inlineStr">
        <is>
          <t>ST783</t>
        </is>
      </c>
      <c r="B784" s="3" t="inlineStr">
        <is>
          <t>Capital Gains Tax on Mutual Funds: How LTCG and STCG Are Taxed on SIP Withdrawals</t>
        </is>
      </c>
      <c r="C784" s="2" t="inlineStr">
        <is>
          <t>Finance</t>
        </is>
      </c>
      <c r="D784" s="3" t="inlineStr">
        <is>
          <t>SIP</t>
        </is>
      </c>
      <c r="E784" s="2" t="inlineStr">
        <is>
          <t>Guide</t>
        </is>
      </c>
      <c r="F784" s="2" t="inlineStr">
        <is>
          <t>Reference</t>
        </is>
      </c>
      <c r="G784" s="3" t="inlineStr">
        <is>
          <t>tax on equity mutual fund sip redemption</t>
        </is>
      </c>
      <c r="H784" s="3" t="inlineStr">
        <is>
          <t>ltcg on mutual funds budget update, fifo rule mutual fund taxation, 1.25 lakh ltcg exemption limit</t>
        </is>
      </c>
      <c r="I784" s="3" t="inlineStr">
        <is>
          <t>SIP Calculator</t>
        </is>
      </c>
      <c r="J784" s="3" t="inlineStr">
        <is>
          <t>/finance/sip-calculator</t>
        </is>
      </c>
      <c r="K784" s="3" t="inlineStr">
        <is>
          <t>Explain FIFO (First-In, First-Out) redemption: each SIP installment has its own 12-month holding period. Detail revised 12.5% LTCG (above Rs 1.25 Lakh exemption) and 20% STCG.</t>
        </is>
      </c>
      <c r="L784" s="2" t="inlineStr">
        <is>
          <t>YES</t>
        </is>
      </c>
      <c r="M784" s="2" t="inlineStr">
        <is>
          <t>HIGH</t>
        </is>
      </c>
      <c r="N784" s="2" t="inlineStr">
        <is>
          <t>READY</t>
        </is>
      </c>
      <c r="O784" s="3" t="inlineStr"/>
      <c r="P784" s="3" t="inlineStr"/>
      <c r="Q784" s="3" t="inlineStr"/>
      <c r="R784" s="3" t="inlineStr"/>
    </row>
    <row r="785" ht="20" customHeight="1">
      <c r="A785" s="4" t="inlineStr">
        <is>
          <t>ST784</t>
        </is>
      </c>
      <c r="B785" s="5" t="inlineStr">
        <is>
          <t>Can You Lose Money in a Mutual Fund SIP? Historical Drawdowns and Risk Reality</t>
        </is>
      </c>
      <c r="C785" s="4" t="inlineStr">
        <is>
          <t>Finance</t>
        </is>
      </c>
      <c r="D785" s="5" t="inlineStr">
        <is>
          <t>SIP</t>
        </is>
      </c>
      <c r="E785" s="4" t="inlineStr">
        <is>
          <t>Explanation</t>
        </is>
      </c>
      <c r="F785" s="4" t="inlineStr">
        <is>
          <t>Educational</t>
        </is>
      </c>
      <c r="G785" s="5" t="inlineStr">
        <is>
          <t>can you lose money in sip</t>
        </is>
      </c>
      <c r="H785" s="5" t="inlineStr">
        <is>
          <t>sip risks explained, negative returns in 3 year sip, does mutual fund guarantee returns</t>
        </is>
      </c>
      <c r="I785" s="5" t="inlineStr">
        <is>
          <t>SIP Calculator</t>
        </is>
      </c>
      <c r="J785" s="5" t="inlineStr">
        <is>
          <t>/finance/sip-calculator</t>
        </is>
      </c>
      <c r="K785" s="5" t="inlineStr">
        <is>
          <t>Disclose market volatility: how equity SIPs can show negative returns over 1 to 3 years during bear markets, and why 7+ year horizons eliminate negative return probabilities.</t>
        </is>
      </c>
      <c r="L785" s="4" t="inlineStr">
        <is>
          <t>YES</t>
        </is>
      </c>
      <c r="M785" s="4" t="inlineStr">
        <is>
          <t>HIGH</t>
        </is>
      </c>
      <c r="N785" s="4" t="inlineStr">
        <is>
          <t>READY</t>
        </is>
      </c>
      <c r="O785" s="5" t="inlineStr"/>
      <c r="P785" s="5" t="inlineStr"/>
      <c r="Q785" s="5" t="inlineStr"/>
      <c r="R785" s="5" t="inlineStr"/>
    </row>
    <row r="786" ht="20" customHeight="1">
      <c r="A786" s="2" t="inlineStr">
        <is>
          <t>ST785</t>
        </is>
      </c>
      <c r="B786" s="3" t="inlineStr">
        <is>
          <t>Direct Plans vs Regular Plans in Mutual Funds: How the 1% Expense Ratio Saves Lakhs</t>
        </is>
      </c>
      <c r="C786" s="2" t="inlineStr">
        <is>
          <t>Finance</t>
        </is>
      </c>
      <c r="D786" s="3" t="inlineStr">
        <is>
          <t>SIP</t>
        </is>
      </c>
      <c r="E786" s="2" t="inlineStr">
        <is>
          <t>Comparison</t>
        </is>
      </c>
      <c r="F786" s="2" t="inlineStr">
        <is>
          <t>Comparison</t>
        </is>
      </c>
      <c r="G786" s="3" t="inlineStr">
        <is>
          <t>direct vs regular mutual fund plan</t>
        </is>
      </c>
      <c r="H786" s="3" t="inlineStr">
        <is>
          <t>expense ratio impact on sip returns, how much does regular plan cost, switching to direct plan</t>
        </is>
      </c>
      <c r="I786" s="3" t="inlineStr">
        <is>
          <t>SIP Calculator</t>
        </is>
      </c>
      <c r="J786" s="3" t="inlineStr">
        <is>
          <t>/finance/sip-calculator</t>
        </is>
      </c>
      <c r="K786" s="3" t="inlineStr">
        <is>
          <t>Calculate the compounding cost of a 1% commission: over 25 years, a regular plan siphons off up to 22% of your entire potential terminal wealth in distributor fees.</t>
        </is>
      </c>
      <c r="L786" s="2" t="inlineStr">
        <is>
          <t>YES</t>
        </is>
      </c>
      <c r="M786" s="2" t="inlineStr">
        <is>
          <t>HIGH</t>
        </is>
      </c>
      <c r="N786" s="2" t="inlineStr">
        <is>
          <t>READY</t>
        </is>
      </c>
      <c r="O786" s="3" t="inlineStr"/>
      <c r="P786" s="3" t="inlineStr"/>
      <c r="Q786" s="3" t="inlineStr"/>
      <c r="R786" s="3" t="inlineStr"/>
    </row>
    <row r="787" ht="20" customHeight="1">
      <c r="A787" s="4" t="inlineStr">
        <is>
          <t>ST786</t>
        </is>
      </c>
      <c r="B787" s="5" t="inlineStr">
        <is>
          <t>Rs 1,000 Monthly SIP for 10 Years: Projected Maturity Value and Compounding Breakdown</t>
        </is>
      </c>
      <c r="C787" s="4" t="inlineStr">
        <is>
          <t>Finance</t>
        </is>
      </c>
      <c r="D787" s="5" t="inlineStr">
        <is>
          <t>SIP</t>
        </is>
      </c>
      <c r="E787" s="4" t="inlineStr">
        <is>
          <t>Example</t>
        </is>
      </c>
      <c r="F787" s="4" t="inlineStr">
        <is>
          <t>Educational</t>
        </is>
      </c>
      <c r="G787" s="5" t="inlineStr">
        <is>
          <t>1000 per month sip for 10 years</t>
        </is>
      </c>
      <c r="H787" s="5" t="inlineStr">
        <is>
          <t>sip calculation 1000 per month, returns on 1000 sip, maturity value of 1000 per month sip</t>
        </is>
      </c>
      <c r="I787" s="5" t="inlineStr">
        <is>
          <t>SIP Calculator</t>
        </is>
      </c>
      <c r="J787" s="5" t="inlineStr">
        <is>
          <t>/finance/sip-calculator</t>
        </is>
      </c>
      <c r="K787" s="5" t="inlineStr">
        <is>
          <t>Provide complete step-by-step mathematical calculations for a monthly SIP of Rs 1,000 over 10 years at realistic return assumptions (10%, 12%, and 14%), comparing total invested principal against capital gains.</t>
        </is>
      </c>
      <c r="L787" s="4" t="inlineStr">
        <is>
          <t>YES</t>
        </is>
      </c>
      <c r="M787" s="4" t="inlineStr">
        <is>
          <t>MEDIUM</t>
        </is>
      </c>
      <c r="N787" s="4" t="inlineStr">
        <is>
          <t>READY</t>
        </is>
      </c>
      <c r="O787" s="5" t="inlineStr"/>
      <c r="P787" s="5" t="inlineStr"/>
      <c r="Q787" s="5" t="inlineStr"/>
      <c r="R787" s="5" t="inlineStr"/>
    </row>
    <row r="788" ht="20" customHeight="1">
      <c r="A788" s="2" t="inlineStr">
        <is>
          <t>ST787</t>
        </is>
      </c>
      <c r="B788" s="3" t="inlineStr">
        <is>
          <t>Rs 2,000 Monthly SIP for 10 Years: Wealth Growth and Target Corpus</t>
        </is>
      </c>
      <c r="C788" s="2" t="inlineStr">
        <is>
          <t>Finance</t>
        </is>
      </c>
      <c r="D788" s="3" t="inlineStr">
        <is>
          <t>SIP</t>
        </is>
      </c>
      <c r="E788" s="2" t="inlineStr">
        <is>
          <t>Example</t>
        </is>
      </c>
      <c r="F788" s="2" t="inlineStr">
        <is>
          <t>Educational</t>
        </is>
      </c>
      <c r="G788" s="3" t="inlineStr">
        <is>
          <t>2000 per month sip for 10 years</t>
        </is>
      </c>
      <c r="H788" s="3" t="inlineStr">
        <is>
          <t>sip calculation 2000 per month, returns on 2000 sip, maturity value of 2000 per month sip</t>
        </is>
      </c>
      <c r="I788" s="3" t="inlineStr">
        <is>
          <t>SIP Calculator</t>
        </is>
      </c>
      <c r="J788" s="3" t="inlineStr">
        <is>
          <t>/finance/sip-calculator</t>
        </is>
      </c>
      <c r="K788" s="3" t="inlineStr">
        <is>
          <t>Provide complete step-by-step mathematical calculations for a monthly SIP of Rs 2,000 over 10 years at realistic return assumptions (10%, 12%, and 14%), comparing total invested principal against capital gains.</t>
        </is>
      </c>
      <c r="L788" s="2" t="inlineStr">
        <is>
          <t>YES</t>
        </is>
      </c>
      <c r="M788" s="2" t="inlineStr">
        <is>
          <t>MEDIUM</t>
        </is>
      </c>
      <c r="N788" s="2" t="inlineStr">
        <is>
          <t>READY</t>
        </is>
      </c>
      <c r="O788" s="3" t="inlineStr"/>
      <c r="P788" s="3" t="inlineStr"/>
      <c r="Q788" s="3" t="inlineStr"/>
      <c r="R788" s="3" t="inlineStr"/>
    </row>
    <row r="789" ht="20" customHeight="1">
      <c r="A789" s="4" t="inlineStr">
        <is>
          <t>ST788</t>
        </is>
      </c>
      <c r="B789" s="5" t="inlineStr">
        <is>
          <t>Rs 3,000 Monthly SIP for 15 Years: How Disciplined Investing Builds Substantial Capital</t>
        </is>
      </c>
      <c r="C789" s="4" t="inlineStr">
        <is>
          <t>Finance</t>
        </is>
      </c>
      <c r="D789" s="5" t="inlineStr">
        <is>
          <t>SIP</t>
        </is>
      </c>
      <c r="E789" s="4" t="inlineStr">
        <is>
          <t>Example</t>
        </is>
      </c>
      <c r="F789" s="4" t="inlineStr">
        <is>
          <t>Educational</t>
        </is>
      </c>
      <c r="G789" s="5" t="inlineStr">
        <is>
          <t>3000 per month sip for 15 years</t>
        </is>
      </c>
      <c r="H789" s="5" t="inlineStr">
        <is>
          <t>sip calculation 3000 per month, returns on 3000 sip, maturity value of 3000 per month sip</t>
        </is>
      </c>
      <c r="I789" s="5" t="inlineStr">
        <is>
          <t>SIP Calculator</t>
        </is>
      </c>
      <c r="J789" s="5" t="inlineStr">
        <is>
          <t>/finance/sip-calculator</t>
        </is>
      </c>
      <c r="K789" s="5" t="inlineStr">
        <is>
          <t>Provide complete step-by-step mathematical calculations for a monthly SIP of Rs 3,000 over 15 years at realistic return assumptions (10%, 12%, and 14%), comparing total invested principal against capital gains.</t>
        </is>
      </c>
      <c r="L789" s="4" t="inlineStr">
        <is>
          <t>YES</t>
        </is>
      </c>
      <c r="M789" s="4" t="inlineStr">
        <is>
          <t>MEDIUM</t>
        </is>
      </c>
      <c r="N789" s="4" t="inlineStr">
        <is>
          <t>READY</t>
        </is>
      </c>
      <c r="O789" s="5" t="inlineStr"/>
      <c r="P789" s="5" t="inlineStr"/>
      <c r="Q789" s="5" t="inlineStr"/>
      <c r="R789" s="5" t="inlineStr"/>
    </row>
    <row r="790" ht="20" customHeight="1">
      <c r="A790" s="2" t="inlineStr">
        <is>
          <t>ST789</t>
        </is>
      </c>
      <c r="B790" s="3" t="inlineStr">
        <is>
          <t>Rs 5,000 Monthly SIP for 10 Years: Expected Wealth Gain Across Market Cycles</t>
        </is>
      </c>
      <c r="C790" s="2" t="inlineStr">
        <is>
          <t>Finance</t>
        </is>
      </c>
      <c r="D790" s="3" t="inlineStr">
        <is>
          <t>SIP</t>
        </is>
      </c>
      <c r="E790" s="2" t="inlineStr">
        <is>
          <t>Example</t>
        </is>
      </c>
      <c r="F790" s="2" t="inlineStr">
        <is>
          <t>Educational</t>
        </is>
      </c>
      <c r="G790" s="3" t="inlineStr">
        <is>
          <t>5000 per month sip for 10 years</t>
        </is>
      </c>
      <c r="H790" s="3" t="inlineStr">
        <is>
          <t>sip calculation 5000 per month, returns on 5000 sip, maturity value of 5000 per month sip</t>
        </is>
      </c>
      <c r="I790" s="3" t="inlineStr">
        <is>
          <t>SIP Calculator</t>
        </is>
      </c>
      <c r="J790" s="3" t="inlineStr">
        <is>
          <t>/finance/sip-calculator</t>
        </is>
      </c>
      <c r="K790" s="3" t="inlineStr">
        <is>
          <t>Provide complete step-by-step mathematical calculations for a monthly SIP of Rs 5,000 over 10 years at realistic return assumptions (10%, 12%, and 14%), comparing total invested principal against capital gains.</t>
        </is>
      </c>
      <c r="L790" s="2" t="inlineStr">
        <is>
          <t>YES</t>
        </is>
      </c>
      <c r="M790" s="2" t="inlineStr">
        <is>
          <t>HIGH</t>
        </is>
      </c>
      <c r="N790" s="2" t="inlineStr">
        <is>
          <t>READY</t>
        </is>
      </c>
      <c r="O790" s="3" t="inlineStr"/>
      <c r="P790" s="3" t="inlineStr"/>
      <c r="Q790" s="3" t="inlineStr"/>
      <c r="R790" s="3" t="inlineStr"/>
    </row>
    <row r="791" ht="20" customHeight="1">
      <c r="A791" s="4" t="inlineStr">
        <is>
          <t>ST790</t>
        </is>
      </c>
      <c r="B791" s="5" t="inlineStr">
        <is>
          <t>Rs 5,000 Monthly SIP for 15 Years: Reaching the Half-Crore Milestone</t>
        </is>
      </c>
      <c r="C791" s="4" t="inlineStr">
        <is>
          <t>Finance</t>
        </is>
      </c>
      <c r="D791" s="5" t="inlineStr">
        <is>
          <t>SIP</t>
        </is>
      </c>
      <c r="E791" s="4" t="inlineStr">
        <is>
          <t>Example</t>
        </is>
      </c>
      <c r="F791" s="4" t="inlineStr">
        <is>
          <t>Educational</t>
        </is>
      </c>
      <c r="G791" s="5" t="inlineStr">
        <is>
          <t>5000 per month sip for 15 years</t>
        </is>
      </c>
      <c r="H791" s="5" t="inlineStr">
        <is>
          <t>sip calculation 5000 per month, returns on 5000 sip, maturity value of 5000 per month sip</t>
        </is>
      </c>
      <c r="I791" s="5" t="inlineStr">
        <is>
          <t>SIP Calculator</t>
        </is>
      </c>
      <c r="J791" s="5" t="inlineStr">
        <is>
          <t>/finance/sip-calculator</t>
        </is>
      </c>
      <c r="K791" s="5" t="inlineStr">
        <is>
          <t>Provide complete step-by-step mathematical calculations for a monthly SIP of Rs 5,000 over 15 years at realistic return assumptions (10%, 12%, and 14%), comparing total invested principal against capital gains.</t>
        </is>
      </c>
      <c r="L791" s="4" t="inlineStr">
        <is>
          <t>YES</t>
        </is>
      </c>
      <c r="M791" s="4" t="inlineStr">
        <is>
          <t>HIGH</t>
        </is>
      </c>
      <c r="N791" s="4" t="inlineStr">
        <is>
          <t>READY</t>
        </is>
      </c>
      <c r="O791" s="5" t="inlineStr"/>
      <c r="P791" s="5" t="inlineStr"/>
      <c r="Q791" s="5" t="inlineStr"/>
      <c r="R791" s="5" t="inlineStr"/>
    </row>
    <row r="792" ht="20" customHeight="1">
      <c r="A792" s="2" t="inlineStr">
        <is>
          <t>ST791</t>
        </is>
      </c>
      <c r="B792" s="3" t="inlineStr">
        <is>
          <t>Rs 5,000 Monthly SIP for 20 Years: How Compounding Turns Rs 12 Lakh into Rs 50 Lakh</t>
        </is>
      </c>
      <c r="C792" s="2" t="inlineStr">
        <is>
          <t>Finance</t>
        </is>
      </c>
      <c r="D792" s="3" t="inlineStr">
        <is>
          <t>SIP</t>
        </is>
      </c>
      <c r="E792" s="2" t="inlineStr">
        <is>
          <t>Example</t>
        </is>
      </c>
      <c r="F792" s="2" t="inlineStr">
        <is>
          <t>Educational</t>
        </is>
      </c>
      <c r="G792" s="3" t="inlineStr">
        <is>
          <t>5000 per month sip for 20 years</t>
        </is>
      </c>
      <c r="H792" s="3" t="inlineStr">
        <is>
          <t>sip calculation 5000 per month, returns on 5000 sip, maturity value of 5000 per month sip</t>
        </is>
      </c>
      <c r="I792" s="3" t="inlineStr">
        <is>
          <t>SIP Calculator</t>
        </is>
      </c>
      <c r="J792" s="3" t="inlineStr">
        <is>
          <t>/finance/sip-calculator</t>
        </is>
      </c>
      <c r="K792" s="3" t="inlineStr">
        <is>
          <t>Provide complete step-by-step mathematical calculations for a monthly SIP of Rs 5,000 over 20 years at realistic return assumptions (10%, 12%, and 14%), comparing total invested principal against capital gains.</t>
        </is>
      </c>
      <c r="L792" s="2" t="inlineStr">
        <is>
          <t>YES</t>
        </is>
      </c>
      <c r="M792" s="2" t="inlineStr">
        <is>
          <t>HIGH</t>
        </is>
      </c>
      <c r="N792" s="2" t="inlineStr">
        <is>
          <t>READY</t>
        </is>
      </c>
      <c r="O792" s="3" t="inlineStr"/>
      <c r="P792" s="3" t="inlineStr"/>
      <c r="Q792" s="3" t="inlineStr"/>
      <c r="R792" s="3" t="inlineStr"/>
    </row>
    <row r="793" ht="20" customHeight="1">
      <c r="A793" s="4" t="inlineStr">
        <is>
          <t>ST792</t>
        </is>
      </c>
      <c r="B793" s="5" t="inlineStr">
        <is>
          <t>Rs 10,000 Monthly SIP for 10 Years: Detailed Projected Gains and Capital Invested</t>
        </is>
      </c>
      <c r="C793" s="4" t="inlineStr">
        <is>
          <t>Finance</t>
        </is>
      </c>
      <c r="D793" s="5" t="inlineStr">
        <is>
          <t>SIP</t>
        </is>
      </c>
      <c r="E793" s="4" t="inlineStr">
        <is>
          <t>Example</t>
        </is>
      </c>
      <c r="F793" s="4" t="inlineStr">
        <is>
          <t>Educational</t>
        </is>
      </c>
      <c r="G793" s="5" t="inlineStr">
        <is>
          <t>10000 per month sip for 10 years</t>
        </is>
      </c>
      <c r="H793" s="5" t="inlineStr">
        <is>
          <t>sip calculation 10000 per month, returns on 10000 sip, maturity value of 10000 per month sip</t>
        </is>
      </c>
      <c r="I793" s="5" t="inlineStr">
        <is>
          <t>SIP Calculator</t>
        </is>
      </c>
      <c r="J793" s="5" t="inlineStr">
        <is>
          <t>/finance/sip-calculator</t>
        </is>
      </c>
      <c r="K793" s="5" t="inlineStr">
        <is>
          <t>Provide complete step-by-step mathematical calculations for a monthly SIP of Rs 10,000 over 10 years at realistic return assumptions (10%, 12%, and 14%), comparing total invested principal against capital gains.</t>
        </is>
      </c>
      <c r="L793" s="4" t="inlineStr">
        <is>
          <t>YES</t>
        </is>
      </c>
      <c r="M793" s="4" t="inlineStr">
        <is>
          <t>HIGH</t>
        </is>
      </c>
      <c r="N793" s="4" t="inlineStr">
        <is>
          <t>READY</t>
        </is>
      </c>
      <c r="O793" s="5" t="inlineStr"/>
      <c r="P793" s="5" t="inlineStr"/>
      <c r="Q793" s="5" t="inlineStr"/>
      <c r="R793" s="5" t="inlineStr"/>
    </row>
    <row r="794" ht="20" customHeight="1">
      <c r="A794" s="2" t="inlineStr">
        <is>
          <t>ST793</t>
        </is>
      </c>
      <c r="B794" s="3" t="inlineStr">
        <is>
          <t>Rs 10,000 Monthly SIP for 15 Years: Reaching the Rs 50 Lakh to Rs 75 Lakh Bracket</t>
        </is>
      </c>
      <c r="C794" s="2" t="inlineStr">
        <is>
          <t>Finance</t>
        </is>
      </c>
      <c r="D794" s="3" t="inlineStr">
        <is>
          <t>SIP</t>
        </is>
      </c>
      <c r="E794" s="2" t="inlineStr">
        <is>
          <t>Example</t>
        </is>
      </c>
      <c r="F794" s="2" t="inlineStr">
        <is>
          <t>Educational</t>
        </is>
      </c>
      <c r="G794" s="3" t="inlineStr">
        <is>
          <t>10000 per month sip for 15 years</t>
        </is>
      </c>
      <c r="H794" s="3" t="inlineStr">
        <is>
          <t>sip calculation 10000 per month, returns on 10000 sip, maturity value of 10000 per month sip</t>
        </is>
      </c>
      <c r="I794" s="3" t="inlineStr">
        <is>
          <t>SIP Calculator</t>
        </is>
      </c>
      <c r="J794" s="3" t="inlineStr">
        <is>
          <t>/finance/sip-calculator</t>
        </is>
      </c>
      <c r="K794" s="3" t="inlineStr">
        <is>
          <t>Provide complete step-by-step mathematical calculations for a monthly SIP of Rs 10,000 over 15 years at realistic return assumptions (10%, 12%, and 14%), comparing total invested principal against capital gains.</t>
        </is>
      </c>
      <c r="L794" s="2" t="inlineStr">
        <is>
          <t>YES</t>
        </is>
      </c>
      <c r="M794" s="2" t="inlineStr">
        <is>
          <t>HIGH</t>
        </is>
      </c>
      <c r="N794" s="2" t="inlineStr">
        <is>
          <t>READY</t>
        </is>
      </c>
      <c r="O794" s="3" t="inlineStr"/>
      <c r="P794" s="3" t="inlineStr"/>
      <c r="Q794" s="3" t="inlineStr"/>
      <c r="R794" s="3" t="inlineStr"/>
    </row>
    <row r="795" ht="20" customHeight="1">
      <c r="A795" s="4" t="inlineStr">
        <is>
          <t>ST794</t>
        </is>
      </c>
      <c r="B795" s="5" t="inlineStr">
        <is>
          <t>Rs 10,000 Monthly SIP for 20 Years: The 1 Crore Wealth Creation Journey</t>
        </is>
      </c>
      <c r="C795" s="4" t="inlineStr">
        <is>
          <t>Finance</t>
        </is>
      </c>
      <c r="D795" s="5" t="inlineStr">
        <is>
          <t>SIP</t>
        </is>
      </c>
      <c r="E795" s="4" t="inlineStr">
        <is>
          <t>Example</t>
        </is>
      </c>
      <c r="F795" s="4" t="inlineStr">
        <is>
          <t>Educational</t>
        </is>
      </c>
      <c r="G795" s="5" t="inlineStr">
        <is>
          <t>10000 per month sip for 20 years</t>
        </is>
      </c>
      <c r="H795" s="5" t="inlineStr">
        <is>
          <t>sip calculation 10000 per month, returns on 10000 sip, maturity value of 10000 per month sip</t>
        </is>
      </c>
      <c r="I795" s="5" t="inlineStr">
        <is>
          <t>SIP Calculator</t>
        </is>
      </c>
      <c r="J795" s="5" t="inlineStr">
        <is>
          <t>/finance/sip-calculator</t>
        </is>
      </c>
      <c r="K795" s="5" t="inlineStr">
        <is>
          <t>Provide complete step-by-step mathematical calculations for a monthly SIP of Rs 10,000 over 20 years at realistic return assumptions (10%, 12%, and 14%), comparing total invested principal against capital gains.</t>
        </is>
      </c>
      <c r="L795" s="4" t="inlineStr">
        <is>
          <t>YES</t>
        </is>
      </c>
      <c r="M795" s="4" t="inlineStr">
        <is>
          <t>HIGH</t>
        </is>
      </c>
      <c r="N795" s="4" t="inlineStr">
        <is>
          <t>READY</t>
        </is>
      </c>
      <c r="O795" s="5" t="inlineStr"/>
      <c r="P795" s="5" t="inlineStr"/>
      <c r="Q795" s="5" t="inlineStr"/>
      <c r="R795" s="5" t="inlineStr"/>
    </row>
    <row r="796" ht="20" customHeight="1">
      <c r="A796" s="2" t="inlineStr">
        <is>
          <t>ST795</t>
        </is>
      </c>
      <c r="B796" s="3" t="inlineStr">
        <is>
          <t>Rs 15,000 Monthly SIP for 15 Years: Building a Strong Financial Safety Net</t>
        </is>
      </c>
      <c r="C796" s="2" t="inlineStr">
        <is>
          <t>Finance</t>
        </is>
      </c>
      <c r="D796" s="3" t="inlineStr">
        <is>
          <t>SIP</t>
        </is>
      </c>
      <c r="E796" s="2" t="inlineStr">
        <is>
          <t>Example</t>
        </is>
      </c>
      <c r="F796" s="2" t="inlineStr">
        <is>
          <t>Educational</t>
        </is>
      </c>
      <c r="G796" s="3" t="inlineStr">
        <is>
          <t>15000 per month sip for 15 years</t>
        </is>
      </c>
      <c r="H796" s="3" t="inlineStr">
        <is>
          <t>sip calculation 15000 per month, returns on 15000 sip, maturity value of 15000 per month sip</t>
        </is>
      </c>
      <c r="I796" s="3" t="inlineStr">
        <is>
          <t>SIP Calculator</t>
        </is>
      </c>
      <c r="J796" s="3" t="inlineStr">
        <is>
          <t>/finance/sip-calculator</t>
        </is>
      </c>
      <c r="K796" s="3" t="inlineStr">
        <is>
          <t>Provide complete step-by-step mathematical calculations for a monthly SIP of Rs 15,000 over 15 years at realistic return assumptions (10%, 12%, and 14%), comparing total invested principal against capital gains.</t>
        </is>
      </c>
      <c r="L796" s="2" t="inlineStr">
        <is>
          <t>YES</t>
        </is>
      </c>
      <c r="M796" s="2" t="inlineStr">
        <is>
          <t>MEDIUM</t>
        </is>
      </c>
      <c r="N796" s="2" t="inlineStr">
        <is>
          <t>READY</t>
        </is>
      </c>
      <c r="O796" s="3" t="inlineStr"/>
      <c r="P796" s="3" t="inlineStr"/>
      <c r="Q796" s="3" t="inlineStr"/>
      <c r="R796" s="3" t="inlineStr"/>
    </row>
    <row r="797" ht="20" customHeight="1">
      <c r="A797" s="4" t="inlineStr">
        <is>
          <t>ST796</t>
        </is>
      </c>
      <c r="B797" s="5" t="inlineStr">
        <is>
          <t>Rs 20,000 Monthly SIP for 15 Years: Fast-Tracking Your 1 Crore Milestone</t>
        </is>
      </c>
      <c r="C797" s="4" t="inlineStr">
        <is>
          <t>Finance</t>
        </is>
      </c>
      <c r="D797" s="5" t="inlineStr">
        <is>
          <t>SIP</t>
        </is>
      </c>
      <c r="E797" s="4" t="inlineStr">
        <is>
          <t>Example</t>
        </is>
      </c>
      <c r="F797" s="4" t="inlineStr">
        <is>
          <t>Educational</t>
        </is>
      </c>
      <c r="G797" s="5" t="inlineStr">
        <is>
          <t>20000 per month sip for 15 years</t>
        </is>
      </c>
      <c r="H797" s="5" t="inlineStr">
        <is>
          <t>sip calculation 20000 per month, returns on 20000 sip, maturity value of 20000 per month sip</t>
        </is>
      </c>
      <c r="I797" s="5" t="inlineStr">
        <is>
          <t>SIP Calculator</t>
        </is>
      </c>
      <c r="J797" s="5" t="inlineStr">
        <is>
          <t>/finance/sip-calculator</t>
        </is>
      </c>
      <c r="K797" s="5" t="inlineStr">
        <is>
          <t>Provide complete step-by-step mathematical calculations for a monthly SIP of Rs 20,000 over 15 years at realistic return assumptions (10%, 12%, and 14%), comparing total invested principal against capital gains.</t>
        </is>
      </c>
      <c r="L797" s="4" t="inlineStr">
        <is>
          <t>YES</t>
        </is>
      </c>
      <c r="M797" s="4" t="inlineStr">
        <is>
          <t>HIGH</t>
        </is>
      </c>
      <c r="N797" s="4" t="inlineStr">
        <is>
          <t>READY</t>
        </is>
      </c>
      <c r="O797" s="5" t="inlineStr"/>
      <c r="P797" s="5" t="inlineStr"/>
      <c r="Q797" s="5" t="inlineStr"/>
      <c r="R797" s="5" t="inlineStr"/>
    </row>
    <row r="798" ht="20" customHeight="1">
      <c r="A798" s="2" t="inlineStr">
        <is>
          <t>ST797</t>
        </is>
      </c>
      <c r="B798" s="3" t="inlineStr">
        <is>
          <t>Rs 25,000 Monthly SIP for 15 Years: Accumulating Over 1.5 Crores for Early Retirement</t>
        </is>
      </c>
      <c r="C798" s="2" t="inlineStr">
        <is>
          <t>Finance</t>
        </is>
      </c>
      <c r="D798" s="3" t="inlineStr">
        <is>
          <t>SIP</t>
        </is>
      </c>
      <c r="E798" s="2" t="inlineStr">
        <is>
          <t>Example</t>
        </is>
      </c>
      <c r="F798" s="2" t="inlineStr">
        <is>
          <t>Educational</t>
        </is>
      </c>
      <c r="G798" s="3" t="inlineStr">
        <is>
          <t>25000 per month sip for 15 years</t>
        </is>
      </c>
      <c r="H798" s="3" t="inlineStr">
        <is>
          <t>sip calculation 25000 per month, returns on 25000 sip, maturity value of 25000 per month sip</t>
        </is>
      </c>
      <c r="I798" s="3" t="inlineStr">
        <is>
          <t>SIP Calculator</t>
        </is>
      </c>
      <c r="J798" s="3" t="inlineStr">
        <is>
          <t>/finance/sip-calculator</t>
        </is>
      </c>
      <c r="K798" s="3" t="inlineStr">
        <is>
          <t>Provide complete step-by-step mathematical calculations for a monthly SIP of Rs 25,000 over 15 years at realistic return assumptions (10%, 12%, and 14%), comparing total invested principal against capital gains.</t>
        </is>
      </c>
      <c r="L798" s="2" t="inlineStr">
        <is>
          <t>YES</t>
        </is>
      </c>
      <c r="M798" s="2" t="inlineStr">
        <is>
          <t>MEDIUM</t>
        </is>
      </c>
      <c r="N798" s="2" t="inlineStr">
        <is>
          <t>READY</t>
        </is>
      </c>
      <c r="O798" s="3" t="inlineStr"/>
      <c r="P798" s="3" t="inlineStr"/>
      <c r="Q798" s="3" t="inlineStr"/>
      <c r="R798" s="3" t="inlineStr"/>
    </row>
    <row r="799" ht="20" customHeight="1">
      <c r="A799" s="4" t="inlineStr">
        <is>
          <t>ST798</t>
        </is>
      </c>
      <c r="B799" s="5" t="inlineStr">
        <is>
          <t>Rs 50,000 Monthly SIP for 10 Years: High-Income Wealth Generation Modeling</t>
        </is>
      </c>
      <c r="C799" s="4" t="inlineStr">
        <is>
          <t>Finance</t>
        </is>
      </c>
      <c r="D799" s="5" t="inlineStr">
        <is>
          <t>SIP</t>
        </is>
      </c>
      <c r="E799" s="4" t="inlineStr">
        <is>
          <t>Example</t>
        </is>
      </c>
      <c r="F799" s="4" t="inlineStr">
        <is>
          <t>Educational</t>
        </is>
      </c>
      <c r="G799" s="5" t="inlineStr">
        <is>
          <t>50000 per month sip for 10 years</t>
        </is>
      </c>
      <c r="H799" s="5" t="inlineStr">
        <is>
          <t>sip calculation 50000 per month, returns on 50000 sip, maturity value of 50000 per month sip</t>
        </is>
      </c>
      <c r="I799" s="5" t="inlineStr">
        <is>
          <t>SIP Calculator</t>
        </is>
      </c>
      <c r="J799" s="5" t="inlineStr">
        <is>
          <t>/finance/sip-calculator</t>
        </is>
      </c>
      <c r="K799" s="5" t="inlineStr">
        <is>
          <t>Provide complete step-by-step mathematical calculations for a monthly SIP of Rs 50,000 over 10 years at realistic return assumptions (10%, 12%, and 14%), comparing total invested principal against capital gains.</t>
        </is>
      </c>
      <c r="L799" s="4" t="inlineStr">
        <is>
          <t>YES</t>
        </is>
      </c>
      <c r="M799" s="4" t="inlineStr">
        <is>
          <t>MEDIUM</t>
        </is>
      </c>
      <c r="N799" s="4" t="inlineStr">
        <is>
          <t>READY</t>
        </is>
      </c>
      <c r="O799" s="5" t="inlineStr"/>
      <c r="P799" s="5" t="inlineStr"/>
      <c r="Q799" s="5" t="inlineStr"/>
      <c r="R799" s="5" t="inlineStr"/>
    </row>
    <row r="800" ht="20" customHeight="1">
      <c r="A800" s="2" t="inlineStr">
        <is>
          <t>ST799</t>
        </is>
      </c>
      <c r="B800" s="3" t="inlineStr">
        <is>
          <t>Rs 50,000 Monthly SIP for 15 Years: Reaching Multi-Crore Financial Independence</t>
        </is>
      </c>
      <c r="C800" s="2" t="inlineStr">
        <is>
          <t>Finance</t>
        </is>
      </c>
      <c r="D800" s="3" t="inlineStr">
        <is>
          <t>SIP</t>
        </is>
      </c>
      <c r="E800" s="2" t="inlineStr">
        <is>
          <t>Example</t>
        </is>
      </c>
      <c r="F800" s="2" t="inlineStr">
        <is>
          <t>Educational</t>
        </is>
      </c>
      <c r="G800" s="3" t="inlineStr">
        <is>
          <t>50000 per month sip for 15 years</t>
        </is>
      </c>
      <c r="H800" s="3" t="inlineStr">
        <is>
          <t>sip calculation 50000 per month, returns on 50000 sip, maturity value of 50000 per month sip</t>
        </is>
      </c>
      <c r="I800" s="3" t="inlineStr">
        <is>
          <t>SIP Calculator</t>
        </is>
      </c>
      <c r="J800" s="3" t="inlineStr">
        <is>
          <t>/finance/sip-calculator</t>
        </is>
      </c>
      <c r="K800" s="3" t="inlineStr">
        <is>
          <t>Provide complete step-by-step mathematical calculations for a monthly SIP of Rs 50,000 over 15 years at realistic return assumptions (10%, 12%, and 14%), comparing total invested principal against capital gains.</t>
        </is>
      </c>
      <c r="L800" s="2" t="inlineStr">
        <is>
          <t>YES</t>
        </is>
      </c>
      <c r="M800" s="2" t="inlineStr">
        <is>
          <t>MEDIUM</t>
        </is>
      </c>
      <c r="N800" s="2" t="inlineStr">
        <is>
          <t>READY</t>
        </is>
      </c>
      <c r="O800" s="3" t="inlineStr"/>
      <c r="P800" s="3" t="inlineStr"/>
      <c r="Q800" s="3" t="inlineStr"/>
      <c r="R800" s="3" t="inlineStr"/>
    </row>
    <row r="801" ht="20" customHeight="1">
      <c r="A801" s="4" t="inlineStr">
        <is>
          <t>ST800</t>
        </is>
      </c>
      <c r="B801" s="5" t="inlineStr">
        <is>
          <t>Rs 1 Lakh Monthly SIP for 10 Years: Ultra-High Net Worth Accumulation Strategy</t>
        </is>
      </c>
      <c r="C801" s="4" t="inlineStr">
        <is>
          <t>Finance</t>
        </is>
      </c>
      <c r="D801" s="5" t="inlineStr">
        <is>
          <t>SIP</t>
        </is>
      </c>
      <c r="E801" s="4" t="inlineStr">
        <is>
          <t>Example</t>
        </is>
      </c>
      <c r="F801" s="4" t="inlineStr">
        <is>
          <t>Educational</t>
        </is>
      </c>
      <c r="G801" s="5" t="inlineStr">
        <is>
          <t>1 lakh per month sip for 10 years</t>
        </is>
      </c>
      <c r="H801" s="5" t="inlineStr">
        <is>
          <t>sip calculation 100000 per month, returns on 100000 sip, maturity value of 100000 per month sip</t>
        </is>
      </c>
      <c r="I801" s="5" t="inlineStr">
        <is>
          <t>SIP Calculator</t>
        </is>
      </c>
      <c r="J801" s="5" t="inlineStr">
        <is>
          <t>/finance/sip-calculator</t>
        </is>
      </c>
      <c r="K801" s="5" t="inlineStr">
        <is>
          <t>Provide complete step-by-step mathematical calculations for a monthly SIP of Rs 100,000 over 10 years at realistic return assumptions (10%, 12%, and 14%), comparing total invested principal against capital gains.</t>
        </is>
      </c>
      <c r="L801" s="4" t="inlineStr">
        <is>
          <t>YES</t>
        </is>
      </c>
      <c r="M801" s="4" t="inlineStr">
        <is>
          <t>MEDIUM</t>
        </is>
      </c>
      <c r="N801" s="4" t="inlineStr">
        <is>
          <t>READY</t>
        </is>
      </c>
      <c r="O801" s="5" t="inlineStr"/>
      <c r="P801" s="5" t="inlineStr"/>
      <c r="Q801" s="5" t="inlineStr"/>
      <c r="R801" s="5" t="inlineStr"/>
    </row>
    <row r="802" ht="20" customHeight="1">
      <c r="A802" s="2" t="inlineStr">
        <is>
          <t>ST801</t>
        </is>
      </c>
      <c r="B802" s="3" t="inlineStr">
        <is>
          <t>How to Accumulate Rs 1 Crore Through SIP: Exact Monthly Investment Required Across 10, 15, and 20 Years</t>
        </is>
      </c>
      <c r="C802" s="2" t="inlineStr">
        <is>
          <t>Finance</t>
        </is>
      </c>
      <c r="D802" s="3" t="inlineStr">
        <is>
          <t>SIP</t>
        </is>
      </c>
      <c r="E802" s="2" t="inlineStr">
        <is>
          <t>Planning Guide</t>
        </is>
      </c>
      <c r="F802" s="2" t="inlineStr">
        <is>
          <t>Planning</t>
        </is>
      </c>
      <c r="G802" s="3" t="inlineStr">
        <is>
          <t>how much sip to get 1 crore</t>
        </is>
      </c>
      <c r="H802" s="3" t="inlineStr">
        <is>
          <t>sip required for 1 crore, 1 crore in 10 years sip calculator, 1 crore target sip formula</t>
        </is>
      </c>
      <c r="I802" s="3" t="inlineStr">
        <is>
          <t>SIP Calculator</t>
        </is>
      </c>
      <c r="J802" s="3" t="inlineStr">
        <is>
          <t>/finance/sip-calculator</t>
        </is>
      </c>
      <c r="K802" s="3" t="inlineStr">
        <is>
          <t>Calculate required monthly investment assuming 12% returns: Rs 43,000/mo for 10 years, Rs 20,000/mo for 15 years, or Rs 10,000/mo for 20 years.</t>
        </is>
      </c>
      <c r="L802" s="2" t="inlineStr">
        <is>
          <t>YES</t>
        </is>
      </c>
      <c r="M802" s="2" t="inlineStr">
        <is>
          <t>HIGH</t>
        </is>
      </c>
      <c r="N802" s="2" t="inlineStr">
        <is>
          <t>READY</t>
        </is>
      </c>
      <c r="O802" s="3" t="inlineStr"/>
      <c r="P802" s="3" t="inlineStr"/>
      <c r="Q802" s="3" t="inlineStr"/>
      <c r="R802" s="3" t="inlineStr"/>
    </row>
    <row r="803" ht="20" customHeight="1">
      <c r="A803" s="4" t="inlineStr">
        <is>
          <t>ST802</t>
        </is>
      </c>
      <c r="B803" s="5" t="inlineStr">
        <is>
          <t>How to Accumulate Rs 5 Crore for Retirement: Time Horizon vs Monthly Investment Trade-Off</t>
        </is>
      </c>
      <c r="C803" s="4" t="inlineStr">
        <is>
          <t>Finance</t>
        </is>
      </c>
      <c r="D803" s="5" t="inlineStr">
        <is>
          <t>SIP</t>
        </is>
      </c>
      <c r="E803" s="4" t="inlineStr">
        <is>
          <t>Planning Guide</t>
        </is>
      </c>
      <c r="F803" s="4" t="inlineStr">
        <is>
          <t>Planning</t>
        </is>
      </c>
      <c r="G803" s="5" t="inlineStr">
        <is>
          <t>how much sip for 5 crore retirement</t>
        </is>
      </c>
      <c r="H803" s="5" t="inlineStr">
        <is>
          <t>5 crore sip plan, accumulating 5 crore through mutual funds, retirement wealth calculator</t>
        </is>
      </c>
      <c r="I803" s="5" t="inlineStr">
        <is>
          <t>SIP Calculator</t>
        </is>
      </c>
      <c r="J803" s="5" t="inlineStr">
        <is>
          <t>/finance/sip-calculator</t>
        </is>
      </c>
      <c r="K803" s="5" t="inlineStr">
        <is>
          <t>Model multi-decade retirement scenarios showing the compounding difference between starting at age 25 vs delaying until age 35.</t>
        </is>
      </c>
      <c r="L803" s="4" t="inlineStr">
        <is>
          <t>YES</t>
        </is>
      </c>
      <c r="M803" s="4" t="inlineStr">
        <is>
          <t>HIGH</t>
        </is>
      </c>
      <c r="N803" s="4" t="inlineStr">
        <is>
          <t>READY</t>
        </is>
      </c>
      <c r="O803" s="5" t="inlineStr"/>
      <c r="P803" s="5" t="inlineStr"/>
      <c r="Q803" s="5" t="inlineStr"/>
      <c r="R803" s="5" t="inlineStr"/>
    </row>
    <row r="804" ht="20" customHeight="1">
      <c r="A804" s="2" t="inlineStr">
        <is>
          <t>ST803</t>
        </is>
      </c>
      <c r="B804" s="3" t="inlineStr">
        <is>
          <t>What Happens If You Miss an SIP Installment? Bank ECS Bounce Charges and AMC Rules</t>
        </is>
      </c>
      <c r="C804" s="2" t="inlineStr">
        <is>
          <t>Finance</t>
        </is>
      </c>
      <c r="D804" s="3" t="inlineStr">
        <is>
          <t>SIP</t>
        </is>
      </c>
      <c r="E804" s="2" t="inlineStr">
        <is>
          <t>Guide</t>
        </is>
      </c>
      <c r="F804" s="2" t="inlineStr">
        <is>
          <t>Reference</t>
        </is>
      </c>
      <c r="G804" s="3" t="inlineStr">
        <is>
          <t>what happens if sip installment is missed</t>
        </is>
      </c>
      <c r="H804" s="3" t="inlineStr">
        <is>
          <t>bank penalty for missed sip, does mutual fund cancel sip after 3 bounces, paused sip rules</t>
        </is>
      </c>
      <c r="I804" s="3" t="inlineStr">
        <is>
          <t>SIP Calculator</t>
        </is>
      </c>
      <c r="J804" s="3" t="inlineStr">
        <is>
          <t>/finance/sip-calculator</t>
        </is>
      </c>
      <c r="K804" s="3" t="inlineStr">
        <is>
          <t>Clarify the process: mutual fund AMCs charge zero penalty, but your bank will charge Rs 250-500 for NACH/mandate bounce; teach how to pause SIPs legally.</t>
        </is>
      </c>
      <c r="L804" s="2" t="inlineStr">
        <is>
          <t>YES</t>
        </is>
      </c>
      <c r="M804" s="2" t="inlineStr">
        <is>
          <t>HIGH</t>
        </is>
      </c>
      <c r="N804" s="2" t="inlineStr">
        <is>
          <t>READY</t>
        </is>
      </c>
      <c r="O804" s="3" t="inlineStr"/>
      <c r="P804" s="3" t="inlineStr"/>
      <c r="Q804" s="3" t="inlineStr"/>
      <c r="R804" s="3" t="inlineStr"/>
    </row>
    <row r="805" ht="20" customHeight="1">
      <c r="A805" s="4" t="inlineStr">
        <is>
          <t>ST804</t>
        </is>
      </c>
      <c r="B805" s="5" t="inlineStr">
        <is>
          <t>Index Fund SIP vs Active Mutual Fund SIP: Which Delivers Higher Net Returns After Fees?</t>
        </is>
      </c>
      <c r="C805" s="4" t="inlineStr">
        <is>
          <t>Finance</t>
        </is>
      </c>
      <c r="D805" s="5" t="inlineStr">
        <is>
          <t>SIP</t>
        </is>
      </c>
      <c r="E805" s="4" t="inlineStr">
        <is>
          <t>Comparison</t>
        </is>
      </c>
      <c r="F805" s="4" t="inlineStr">
        <is>
          <t>Comparison</t>
        </is>
      </c>
      <c r="G805" s="5" t="inlineStr">
        <is>
          <t>index fund sip vs active mutual fund</t>
        </is>
      </c>
      <c r="H805" s="5" t="inlineStr">
        <is>
          <t>nifty 50 index fund vs flexi cap, passive investing sip, active fund underperformance</t>
        </is>
      </c>
      <c r="I805" s="5" t="inlineStr">
        <is>
          <t>SIP Calculator</t>
        </is>
      </c>
      <c r="J805" s="5" t="inlineStr">
        <is>
          <t>/finance/sip-calculator</t>
        </is>
      </c>
      <c r="K805" s="5" t="inlineStr">
        <is>
          <t>Analyze SPIVA scorecard data: why 80%+ of large-cap active funds underperform low-cost Nifty 50 and Nifty Next 50 index funds over 5 to 10-year periods.</t>
        </is>
      </c>
      <c r="L805" s="4" t="inlineStr">
        <is>
          <t>YES</t>
        </is>
      </c>
      <c r="M805" s="4" t="inlineStr">
        <is>
          <t>HIGH</t>
        </is>
      </c>
      <c r="N805" s="4" t="inlineStr">
        <is>
          <t>READY</t>
        </is>
      </c>
      <c r="O805" s="5" t="inlineStr"/>
      <c r="P805" s="5" t="inlineStr"/>
      <c r="Q805" s="5" t="inlineStr"/>
      <c r="R805" s="5" t="inlineStr"/>
    </row>
    <row r="806" ht="20" customHeight="1">
      <c r="A806" s="2" t="inlineStr">
        <is>
          <t>ST805</t>
        </is>
      </c>
      <c r="B806" s="3" t="inlineStr">
        <is>
          <t>Best Date of the Month for SIP: Does Investing on 1st, 15th, or 28th Make a Difference?</t>
        </is>
      </c>
      <c r="C806" s="2" t="inlineStr">
        <is>
          <t>Finance</t>
        </is>
      </c>
      <c r="D806" s="3" t="inlineStr">
        <is>
          <t>SIP</t>
        </is>
      </c>
      <c r="E806" s="2" t="inlineStr">
        <is>
          <t>Explanation</t>
        </is>
      </c>
      <c r="F806" s="2" t="inlineStr">
        <is>
          <t>Educational</t>
        </is>
      </c>
      <c r="G806" s="3" t="inlineStr">
        <is>
          <t>best date for sip investment</t>
        </is>
      </c>
      <c r="H806" s="3" t="inlineStr">
        <is>
          <t>does sip date matter, 1st vs 15th vs 28th sip, historical data on best day for sip</t>
        </is>
      </c>
      <c r="I806" s="3" t="inlineStr">
        <is>
          <t>SIP Calculator</t>
        </is>
      </c>
      <c r="J806" s="3" t="inlineStr">
        <is>
          <t>/finance/sip-calculator</t>
        </is>
      </c>
      <c r="K806" s="3" t="inlineStr">
        <is>
          <t>Examine 15 years of daily market backtests: differences between dates average out to less than 0.05% annualized, proving consistency matters far more than date.</t>
        </is>
      </c>
      <c r="L806" s="2" t="inlineStr">
        <is>
          <t>YES</t>
        </is>
      </c>
      <c r="M806" s="2" t="inlineStr">
        <is>
          <t>HIGH</t>
        </is>
      </c>
      <c r="N806" s="2" t="inlineStr">
        <is>
          <t>READY</t>
        </is>
      </c>
      <c r="O806" s="3" t="inlineStr"/>
      <c r="P806" s="3" t="inlineStr"/>
      <c r="Q806" s="3" t="inlineStr"/>
      <c r="R806" s="3" t="inlineStr"/>
    </row>
    <row r="807" ht="20" customHeight="1">
      <c r="A807" s="4" t="inlineStr">
        <is>
          <t>ST806</t>
        </is>
      </c>
      <c r="B807" s="5" t="inlineStr">
        <is>
          <t>Systematic Withdrawal Plan (SWP): How to Generate Monthly Pension from Your SIP Corpus</t>
        </is>
      </c>
      <c r="C807" s="4" t="inlineStr">
        <is>
          <t>Finance</t>
        </is>
      </c>
      <c r="D807" s="5" t="inlineStr">
        <is>
          <t>SIP</t>
        </is>
      </c>
      <c r="E807" s="4" t="inlineStr">
        <is>
          <t>Guide</t>
        </is>
      </c>
      <c r="F807" s="4" t="inlineStr">
        <is>
          <t>How-To</t>
        </is>
      </c>
      <c r="G807" s="5" t="inlineStr">
        <is>
          <t>how swp works in mutual funds</t>
        </is>
      </c>
      <c r="H807" s="5" t="inlineStr">
        <is>
          <t>swp vs annuity, monthly income from mutual fund corpus, safe withdrawal rate india</t>
        </is>
      </c>
      <c r="I807" s="5" t="inlineStr">
        <is>
          <t>SIP Calculator</t>
        </is>
      </c>
      <c r="J807" s="5" t="inlineStr">
        <is>
          <t>/finance/sip-calculator</t>
        </is>
      </c>
      <c r="K807" s="5" t="inlineStr">
        <is>
          <t>Explain how SWP redeems units monthly to generate regular tax-efficient cash flow while remaining capital continues compounding in the fund.</t>
        </is>
      </c>
      <c r="L807" s="4" t="inlineStr">
        <is>
          <t>YES</t>
        </is>
      </c>
      <c r="M807" s="4" t="inlineStr">
        <is>
          <t>HIGH</t>
        </is>
      </c>
      <c r="N807" s="4" t="inlineStr">
        <is>
          <t>READY</t>
        </is>
      </c>
      <c r="O807" s="5" t="inlineStr"/>
      <c r="P807" s="5" t="inlineStr"/>
      <c r="Q807" s="5" t="inlineStr"/>
      <c r="R807" s="5" t="inlineStr"/>
    </row>
    <row r="808" ht="20" customHeight="1">
      <c r="A808" s="2" t="inlineStr">
        <is>
          <t>ST807</t>
        </is>
      </c>
      <c r="B808" s="3" t="inlineStr">
        <is>
          <t>ELSS (Tax Saving Mutual Funds) vs PPF: 3-Year Lock-In vs 15-Year Lock-In</t>
        </is>
      </c>
      <c r="C808" s="2" t="inlineStr">
        <is>
          <t>Finance</t>
        </is>
      </c>
      <c r="D808" s="3" t="inlineStr">
        <is>
          <t>SIP</t>
        </is>
      </c>
      <c r="E808" s="2" t="inlineStr">
        <is>
          <t>Comparison</t>
        </is>
      </c>
      <c r="F808" s="2" t="inlineStr">
        <is>
          <t>Comparison</t>
        </is>
      </c>
      <c r="G808" s="3" t="inlineStr">
        <is>
          <t>elss vs ppf comparison</t>
        </is>
      </c>
      <c r="H808" s="3" t="inlineStr">
        <is>
          <t>tax saving sip under 80c, shortest lock in tax saving scheme, equity linked saving scheme vs ppf</t>
        </is>
      </c>
      <c r="I808" s="3" t="inlineStr">
        <is>
          <t>SIP Calculator</t>
        </is>
      </c>
      <c r="J808" s="3" t="inlineStr">
        <is>
          <t>/finance/sip-calculator</t>
        </is>
      </c>
      <c r="K808" s="3" t="inlineStr">
        <is>
          <t>Compare ELSS (market-linked equity, 3-year lock-in, 80C deduction) with PPF (guaranteed 7.1%, 15-year lock-in, sovereign guarantee).</t>
        </is>
      </c>
      <c r="L808" s="2" t="inlineStr">
        <is>
          <t>YES</t>
        </is>
      </c>
      <c r="M808" s="2" t="inlineStr">
        <is>
          <t>HIGH</t>
        </is>
      </c>
      <c r="N808" s="2" t="inlineStr">
        <is>
          <t>READY</t>
        </is>
      </c>
      <c r="O808" s="3" t="inlineStr"/>
      <c r="P808" s="3" t="inlineStr"/>
      <c r="Q808" s="3" t="inlineStr"/>
      <c r="R808" s="3" t="inlineStr"/>
    </row>
    <row r="809" ht="20" customHeight="1">
      <c r="A809" s="4" t="inlineStr">
        <is>
          <t>ST808</t>
        </is>
      </c>
      <c r="B809" s="5" t="inlineStr">
        <is>
          <t>Daily SIP vs Weekly SIP vs Monthly SIP: Does Higher Frequency Improve Returns?</t>
        </is>
      </c>
      <c r="C809" s="4" t="inlineStr">
        <is>
          <t>Finance</t>
        </is>
      </c>
      <c r="D809" s="5" t="inlineStr">
        <is>
          <t>SIP</t>
        </is>
      </c>
      <c r="E809" s="4" t="inlineStr">
        <is>
          <t>Comparison</t>
        </is>
      </c>
      <c r="F809" s="4" t="inlineStr">
        <is>
          <t>Comparison</t>
        </is>
      </c>
      <c r="G809" s="5" t="inlineStr">
        <is>
          <t>daily sip vs monthly sip returns</t>
        </is>
      </c>
      <c r="H809" s="5" t="inlineStr">
        <is>
          <t>weekly vs monthly sip comparison, is daily sip better than monthly, frequency of sip investments</t>
        </is>
      </c>
      <c r="I809" s="5" t="inlineStr">
        <is>
          <t>SIP Calculator</t>
        </is>
      </c>
      <c r="J809" s="5" t="inlineStr">
        <is>
          <t>/finance/sip-calculator</t>
        </is>
      </c>
      <c r="K809" s="5" t="inlineStr">
        <is>
          <t>Review backtested data across bull and bear markets showing daily and weekly SIPs yield virtually identical long-term returns to monthly SIPs with higher transaction friction.</t>
        </is>
      </c>
      <c r="L809" s="4" t="inlineStr">
        <is>
          <t>YES</t>
        </is>
      </c>
      <c r="M809" s="4" t="inlineStr">
        <is>
          <t>MEDIUM</t>
        </is>
      </c>
      <c r="N809" s="4" t="inlineStr">
        <is>
          <t>READY</t>
        </is>
      </c>
      <c r="O809" s="5" t="inlineStr"/>
      <c r="P809" s="5" t="inlineStr"/>
      <c r="Q809" s="5" t="inlineStr"/>
      <c r="R809" s="5" t="inlineStr"/>
    </row>
    <row r="810" ht="20" customHeight="1">
      <c r="A810" s="2" t="inlineStr">
        <is>
          <t>ST809</t>
        </is>
      </c>
      <c r="B810" s="3" t="inlineStr">
        <is>
          <t>How to Rebalance Your Portfolio When Equity SIPs Grow Faster Than Debt</t>
        </is>
      </c>
      <c r="C810" s="2" t="inlineStr">
        <is>
          <t>Finance</t>
        </is>
      </c>
      <c r="D810" s="3" t="inlineStr">
        <is>
          <t>SIP</t>
        </is>
      </c>
      <c r="E810" s="2" t="inlineStr">
        <is>
          <t>Guide</t>
        </is>
      </c>
      <c r="F810" s="2" t="inlineStr">
        <is>
          <t>Planning</t>
        </is>
      </c>
      <c r="G810" s="3" t="inlineStr">
        <is>
          <t>how to rebalance mutual fund portfolio</t>
        </is>
      </c>
      <c r="H810" s="3" t="inlineStr">
        <is>
          <t>asset allocation rebalancing formula, equity debt ratio rebalancing, managing portfolio risk</t>
        </is>
      </c>
      <c r="I810" s="3" t="inlineStr">
        <is>
          <t>SIP Calculator</t>
        </is>
      </c>
      <c r="J810" s="3" t="inlineStr">
        <is>
          <t>/finance/sip-calculator</t>
        </is>
      </c>
      <c r="K810" s="3" t="inlineStr">
        <is>
          <t>Explain 60:40 or 70:30 asset allocation rebalancing once a year to lock in equity gains into debt or buy depressed equity units during market crashes.</t>
        </is>
      </c>
      <c r="L810" s="2" t="inlineStr">
        <is>
          <t>YES</t>
        </is>
      </c>
      <c r="M810" s="2" t="inlineStr">
        <is>
          <t>MEDIUM</t>
        </is>
      </c>
      <c r="N810" s="2" t="inlineStr">
        <is>
          <t>READY</t>
        </is>
      </c>
      <c r="O810" s="3" t="inlineStr"/>
      <c r="P810" s="3" t="inlineStr"/>
      <c r="Q810" s="3" t="inlineStr"/>
      <c r="R810" s="3" t="inlineStr"/>
    </row>
    <row r="811" ht="20" customHeight="1">
      <c r="A811" s="4" t="inlineStr">
        <is>
          <t>ST810</t>
        </is>
      </c>
      <c r="B811" s="5" t="inlineStr">
        <is>
          <t>Goal-Based Investing: How to Map SIPs to Child Education, Marriage, and Home Buying</t>
        </is>
      </c>
      <c r="C811" s="4" t="inlineStr">
        <is>
          <t>Finance</t>
        </is>
      </c>
      <c r="D811" s="5" t="inlineStr">
        <is>
          <t>SIP</t>
        </is>
      </c>
      <c r="E811" s="4" t="inlineStr">
        <is>
          <t>Planning Guide</t>
        </is>
      </c>
      <c r="F811" s="4" t="inlineStr">
        <is>
          <t>Planning</t>
        </is>
      </c>
      <c r="G811" s="5" t="inlineStr">
        <is>
          <t>how to map sip to financial goals</t>
        </is>
      </c>
      <c r="H811" s="5" t="inlineStr">
        <is>
          <t>goal based mutual fund planning, short term vs long term sip, allocating funds to goals</t>
        </is>
      </c>
      <c r="I811" s="5" t="inlineStr">
        <is>
          <t>SIP Calculator</t>
        </is>
      </c>
      <c r="J811" s="5" t="inlineStr">
        <is>
          <t>/finance/sip-calculator</t>
        </is>
      </c>
      <c r="K811" s="5" t="inlineStr">
        <is>
          <t>Framework for categorizing goals: Short-Term (&lt;3 yrs: Liquid/Arbitrage), Medium-Term (3-5 yrs: Hybrid), Long-Term (5+ yrs: Pure Equity Index).</t>
        </is>
      </c>
      <c r="L811" s="4" t="inlineStr">
        <is>
          <t>YES</t>
        </is>
      </c>
      <c r="M811" s="4" t="inlineStr">
        <is>
          <t>HIGH</t>
        </is>
      </c>
      <c r="N811" s="4" t="inlineStr">
        <is>
          <t>READY</t>
        </is>
      </c>
      <c r="O811" s="5" t="inlineStr"/>
      <c r="P811" s="5" t="inlineStr"/>
      <c r="Q811" s="5" t="inlineStr"/>
      <c r="R811" s="5" t="inlineStr"/>
    </row>
    <row r="812" ht="20" customHeight="1">
      <c r="A812" s="2" t="inlineStr">
        <is>
          <t>ST811</t>
        </is>
      </c>
      <c r="B812" s="3" t="inlineStr">
        <is>
          <t>How Inflation Decreases the Future Purchasing Power of Your Rs 1 Crore SIP Corpus</t>
        </is>
      </c>
      <c r="C812" s="2" t="inlineStr">
        <is>
          <t>Finance</t>
        </is>
      </c>
      <c r="D812" s="3" t="inlineStr">
        <is>
          <t>SIP</t>
        </is>
      </c>
      <c r="E812" s="2" t="inlineStr">
        <is>
          <t>Explanation</t>
        </is>
      </c>
      <c r="F812" s="2" t="inlineStr">
        <is>
          <t>Educational</t>
        </is>
      </c>
      <c r="G812" s="3" t="inlineStr">
        <is>
          <t>purchasing power of 1 crore after 20 years</t>
        </is>
      </c>
      <c r="H812" s="3" t="inlineStr">
        <is>
          <t>inflation adjusted sip calculator, real value of money in future, 6 percent inflation impact</t>
        </is>
      </c>
      <c r="I812" s="3" t="inlineStr">
        <is>
          <t>SIP Calculator</t>
        </is>
      </c>
      <c r="J812" s="3" t="inlineStr">
        <is>
          <t>/finance/sip-calculator</t>
        </is>
      </c>
      <c r="K812" s="3" t="inlineStr">
        <is>
          <t>Calculate real purchasing power: with 6% annual inflation, Rs 1 Crore after 20 years will buy what Rs 31 Lakh buys today, explaining why targets must be inflation-adjusted.</t>
        </is>
      </c>
      <c r="L812" s="2" t="inlineStr">
        <is>
          <t>YES</t>
        </is>
      </c>
      <c r="M812" s="2" t="inlineStr">
        <is>
          <t>HIGH</t>
        </is>
      </c>
      <c r="N812" s="2" t="inlineStr">
        <is>
          <t>READY</t>
        </is>
      </c>
      <c r="O812" s="3" t="inlineStr"/>
      <c r="P812" s="3" t="inlineStr"/>
      <c r="Q812" s="3" t="inlineStr"/>
      <c r="R812" s="3" t="inlineStr"/>
    </row>
    <row r="813" ht="20" customHeight="1">
      <c r="A813" s="4" t="inlineStr">
        <is>
          <t>ST812</t>
        </is>
      </c>
      <c r="B813" s="5" t="inlineStr">
        <is>
          <t>Small Cap vs Mid Cap vs Large Cap SIP: Risk, Volatility, and Return Trade-Offs</t>
        </is>
      </c>
      <c r="C813" s="4" t="inlineStr">
        <is>
          <t>Finance</t>
        </is>
      </c>
      <c r="D813" s="5" t="inlineStr">
        <is>
          <t>SIP</t>
        </is>
      </c>
      <c r="E813" s="4" t="inlineStr">
        <is>
          <t>Comparison</t>
        </is>
      </c>
      <c r="F813" s="4" t="inlineStr">
        <is>
          <t>Educational</t>
        </is>
      </c>
      <c r="G813" s="5" t="inlineStr">
        <is>
          <t>small cap vs mid cap vs large cap sip</t>
        </is>
      </c>
      <c r="H813" s="5" t="inlineStr">
        <is>
          <t>which mutual fund category is best for sip, small cap volatility risk, portfolio diversification</t>
        </is>
      </c>
      <c r="I813" s="5" t="inlineStr">
        <is>
          <t>SIP Calculator</t>
        </is>
      </c>
      <c r="J813" s="5" t="inlineStr">
        <is>
          <t>/finance/sip-calculator</t>
        </is>
      </c>
      <c r="K813" s="5" t="inlineStr">
        <is>
          <t>Examine cyclical drawdowns in small-cap funds (30-50% drops) vs large-cap stability, showing how to balance allocations for high risk-adjusted growth.</t>
        </is>
      </c>
      <c r="L813" s="4" t="inlineStr">
        <is>
          <t>YES</t>
        </is>
      </c>
      <c r="M813" s="4" t="inlineStr">
        <is>
          <t>HIGH</t>
        </is>
      </c>
      <c r="N813" s="4" t="inlineStr">
        <is>
          <t>READY</t>
        </is>
      </c>
      <c r="O813" s="5" t="inlineStr"/>
      <c r="P813" s="5" t="inlineStr"/>
      <c r="Q813" s="5" t="inlineStr"/>
      <c r="R813" s="5" t="inlineStr"/>
    </row>
    <row r="814" ht="20" customHeight="1">
      <c r="A814" s="2" t="inlineStr">
        <is>
          <t>ST813</t>
        </is>
      </c>
      <c r="B814" s="3" t="inlineStr">
        <is>
          <t>How to Stop, Pause, or Modify an Ongoing SIP Online Without Penalty</t>
        </is>
      </c>
      <c r="C814" s="2" t="inlineStr">
        <is>
          <t>Finance</t>
        </is>
      </c>
      <c r="D814" s="3" t="inlineStr">
        <is>
          <t>SIP</t>
        </is>
      </c>
      <c r="E814" s="2" t="inlineStr">
        <is>
          <t>How-To</t>
        </is>
      </c>
      <c r="F814" s="2" t="inlineStr">
        <is>
          <t>How-To</t>
        </is>
      </c>
      <c r="G814" s="3" t="inlineStr">
        <is>
          <t>how to cancel or pause sip online</t>
        </is>
      </c>
      <c r="H814" s="3" t="inlineStr">
        <is>
          <t>modifying sip amount online, pausing sip in groww zerodha coin, stopping mutual fund mandate</t>
        </is>
      </c>
      <c r="I814" s="3" t="inlineStr">
        <is>
          <t>SIP Calculator</t>
        </is>
      </c>
      <c r="J814" s="3" t="inlineStr">
        <is>
          <t>/finance/sip-calculator</t>
        </is>
      </c>
      <c r="K814" s="3" t="inlineStr">
        <is>
          <t>Step-by-step instructions on pausing SIPs for 1-3 months during temporary cash flow crunches without liquidating accumulated units or incurring fees.</t>
        </is>
      </c>
      <c r="L814" s="2" t="inlineStr">
        <is>
          <t>YES</t>
        </is>
      </c>
      <c r="M814" s="2" t="inlineStr">
        <is>
          <t>HIGH</t>
        </is>
      </c>
      <c r="N814" s="2" t="inlineStr">
        <is>
          <t>READY</t>
        </is>
      </c>
      <c r="O814" s="3" t="inlineStr"/>
      <c r="P814" s="3" t="inlineStr"/>
      <c r="Q814" s="3" t="inlineStr"/>
      <c r="R814" s="3" t="inlineStr"/>
    </row>
    <row r="815" ht="20" customHeight="1">
      <c r="A815" s="4" t="inlineStr">
        <is>
          <t>ST814</t>
        </is>
      </c>
      <c r="B815" s="5" t="inlineStr">
        <is>
          <t>Understanding the Difference Between Growth Option and IDCW (Dividend) in SIPs</t>
        </is>
      </c>
      <c r="C815" s="4" t="inlineStr">
        <is>
          <t>Finance</t>
        </is>
      </c>
      <c r="D815" s="5" t="inlineStr">
        <is>
          <t>SIP</t>
        </is>
      </c>
      <c r="E815" s="4" t="inlineStr">
        <is>
          <t>Comparison</t>
        </is>
      </c>
      <c r="F815" s="4" t="inlineStr">
        <is>
          <t>Educational</t>
        </is>
      </c>
      <c r="G815" s="5" t="inlineStr">
        <is>
          <t>growth vs idcw in mutual funds</t>
        </is>
      </c>
      <c r="H815" s="5" t="inlineStr">
        <is>
          <t>why growth option is better for sip, dividend option taxation, reinvestment vs compounding</t>
        </is>
      </c>
      <c r="I815" s="5" t="inlineStr">
        <is>
          <t>SIP Calculator</t>
        </is>
      </c>
      <c r="J815" s="5" t="inlineStr">
        <is>
          <t>/finance/sip-calculator</t>
        </is>
      </c>
      <c r="K815" s="5" t="inlineStr">
        <is>
          <t>Explain why the Growth option enables uninterrupted mathematical compounding, whereas IDCW triggers dividend distribution taxation at individual slab rates.</t>
        </is>
      </c>
      <c r="L815" s="4" t="inlineStr">
        <is>
          <t>YES</t>
        </is>
      </c>
      <c r="M815" s="4" t="inlineStr">
        <is>
          <t>HIGH</t>
        </is>
      </c>
      <c r="N815" s="4" t="inlineStr">
        <is>
          <t>READY</t>
        </is>
      </c>
      <c r="O815" s="5" t="inlineStr"/>
      <c r="P815" s="5" t="inlineStr"/>
      <c r="Q815" s="5" t="inlineStr"/>
      <c r="R815" s="5" t="inlineStr"/>
    </row>
    <row r="816" ht="20" customHeight="1">
      <c r="A816" s="2" t="inlineStr">
        <is>
          <t>ST815</t>
        </is>
      </c>
      <c r="B816" s="3" t="inlineStr">
        <is>
          <t>Summary Guide: Essential Formulas for Mutual Fund SIP, Step-Up SIP, and Compounding</t>
        </is>
      </c>
      <c r="C816" s="2" t="inlineStr">
        <is>
          <t>Finance</t>
        </is>
      </c>
      <c r="D816" s="3" t="inlineStr">
        <is>
          <t>SIP</t>
        </is>
      </c>
      <c r="E816" s="2" t="inlineStr">
        <is>
          <t>Formula Guide</t>
        </is>
      </c>
      <c r="F816" s="2" t="inlineStr">
        <is>
          <t>Reference</t>
        </is>
      </c>
      <c r="G816" s="3" t="inlineStr">
        <is>
          <t>sip formulas reference summary</t>
        </is>
      </c>
      <c r="H816" s="3" t="inlineStr">
        <is>
          <t>all mutual fund formulas cheat sheet, sip fv formula, xirr calculation guide</t>
        </is>
      </c>
      <c r="I816" s="3" t="inlineStr">
        <is>
          <t>SIP Calculator</t>
        </is>
      </c>
      <c r="J816" s="3" t="inlineStr">
        <is>
          <t>/finance/sip-calculator</t>
        </is>
      </c>
      <c r="K816" s="3" t="inlineStr">
        <is>
          <t>Consolidated reference sheet covering Future Value of SIP, Step-Up SIP formula, Rule of 72, XIRR definition, and Real Inflation-Adjusted Return math.</t>
        </is>
      </c>
      <c r="L816" s="2" t="inlineStr">
        <is>
          <t>YES</t>
        </is>
      </c>
      <c r="M816" s="2" t="inlineStr">
        <is>
          <t>HIGH</t>
        </is>
      </c>
      <c r="N816" s="2" t="inlineStr">
        <is>
          <t>READY</t>
        </is>
      </c>
      <c r="O816" s="3" t="inlineStr"/>
      <c r="P816" s="3" t="inlineStr"/>
      <c r="Q816" s="3" t="inlineStr"/>
      <c r="R816" s="3" t="inlineStr"/>
    </row>
    <row r="817" ht="20" customHeight="1">
      <c r="A817" s="4" t="inlineStr">
        <is>
          <t>ST816</t>
        </is>
      </c>
      <c r="B817" s="5" t="inlineStr">
        <is>
          <t>How to Calculate GST: Complete Step-by-Step Formulas for Inclusive and Exclusive Prices</t>
        </is>
      </c>
      <c r="C817" s="4" t="inlineStr">
        <is>
          <t>Finance</t>
        </is>
      </c>
      <c r="D817" s="5" t="inlineStr">
        <is>
          <t>GST</t>
        </is>
      </c>
      <c r="E817" s="4" t="inlineStr">
        <is>
          <t>Formula Guide</t>
        </is>
      </c>
      <c r="F817" s="4" t="inlineStr">
        <is>
          <t>How-To</t>
        </is>
      </c>
      <c r="G817" s="5" t="inlineStr">
        <is>
          <t>how to calculate gst</t>
        </is>
      </c>
      <c r="H817" s="5" t="inlineStr">
        <is>
          <t>gst calculation formula, gst inclusive exclusive formula, reverse gst calculation, goods and services tax formula</t>
        </is>
      </c>
      <c r="I817" s="5" t="inlineStr">
        <is>
          <t>GST Calculator</t>
        </is>
      </c>
      <c r="J817" s="5" t="inlineStr">
        <is>
          <t>/finance/gst-calculator</t>
        </is>
      </c>
      <c r="K817" s="5" t="inlineStr">
        <is>
          <t>Provide exact formulas: Exclusive GST = Base * (Rate / 100). Inclusive GST = Total Price - [Total Price / (1 + Rate / 100)]. Work through 5%, 12%, 18%, and 28% slabs.</t>
        </is>
      </c>
      <c r="L817" s="4" t="inlineStr">
        <is>
          <t>YES</t>
        </is>
      </c>
      <c r="M817" s="4" t="inlineStr">
        <is>
          <t>HIGH</t>
        </is>
      </c>
      <c r="N817" s="4" t="inlineStr">
        <is>
          <t>READY</t>
        </is>
      </c>
      <c r="O817" s="5" t="inlineStr"/>
      <c r="P817" s="5" t="inlineStr"/>
      <c r="Q817" s="5" t="inlineStr"/>
      <c r="R817" s="5" t="inlineStr"/>
    </row>
    <row r="818" ht="20" customHeight="1">
      <c r="A818" s="2" t="inlineStr">
        <is>
          <t>ST817</t>
        </is>
      </c>
      <c r="B818" s="3" t="inlineStr">
        <is>
          <t>GST Inclusive vs GST Exclusive: Understanding the Pricing Difference on Invoices</t>
        </is>
      </c>
      <c r="C818" s="2" t="inlineStr">
        <is>
          <t>Finance</t>
        </is>
      </c>
      <c r="D818" s="3" t="inlineStr">
        <is>
          <t>GST</t>
        </is>
      </c>
      <c r="E818" s="2" t="inlineStr">
        <is>
          <t>Comparison</t>
        </is>
      </c>
      <c r="F818" s="2" t="inlineStr">
        <is>
          <t>Educational</t>
        </is>
      </c>
      <c r="G818" s="3" t="inlineStr">
        <is>
          <t>gst inclusive vs exclusive difference</t>
        </is>
      </c>
      <c r="H818" s="3" t="inlineStr">
        <is>
          <t>inclusive vs exclusive price meaning, is gst added on top or included, how to read gst invoice</t>
        </is>
      </c>
      <c r="I818" s="3" t="inlineStr">
        <is>
          <t>GST Calculator</t>
        </is>
      </c>
      <c r="J818" s="3" t="inlineStr">
        <is>
          <t>/finance/gst-calculator</t>
        </is>
      </c>
      <c r="K818" s="3" t="inlineStr">
        <is>
          <t>Clarify the pricing distinction: B2C retail MRP is almost always GST-inclusive, while B2B quotes and contracts are quoted GST-exclusive with tax added on top.</t>
        </is>
      </c>
      <c r="L818" s="2" t="inlineStr">
        <is>
          <t>YES</t>
        </is>
      </c>
      <c r="M818" s="2" t="inlineStr">
        <is>
          <t>HIGH</t>
        </is>
      </c>
      <c r="N818" s="2" t="inlineStr">
        <is>
          <t>READY</t>
        </is>
      </c>
      <c r="O818" s="3" t="inlineStr"/>
      <c r="P818" s="3" t="inlineStr"/>
      <c r="Q818" s="3" t="inlineStr"/>
      <c r="R818" s="3" t="inlineStr"/>
    </row>
    <row r="819" ht="20" customHeight="1">
      <c r="A819" s="4" t="inlineStr">
        <is>
          <t>ST818</t>
        </is>
      </c>
      <c r="B819" s="5" t="inlineStr">
        <is>
          <t>CGST, SGST, and IGST Explained: When Does GST Split 50:50 vs Single Tax?</t>
        </is>
      </c>
      <c r="C819" s="4" t="inlineStr">
        <is>
          <t>Finance</t>
        </is>
      </c>
      <c r="D819" s="5" t="inlineStr">
        <is>
          <t>GST</t>
        </is>
      </c>
      <c r="E819" s="4" t="inlineStr">
        <is>
          <t>Explanation</t>
        </is>
      </c>
      <c r="F819" s="4" t="inlineStr">
        <is>
          <t>Educational</t>
        </is>
      </c>
      <c r="G819" s="5" t="inlineStr">
        <is>
          <t>difference between cgst sgst and igst</t>
        </is>
      </c>
      <c r="H819" s="5" t="inlineStr">
        <is>
          <t>how gst is split between central and state, intra state vs inter state gst, igst rules</t>
        </is>
      </c>
      <c r="I819" s="5" t="inlineStr">
        <is>
          <t>GST Calculator</t>
        </is>
      </c>
      <c r="J819" s="5" t="inlineStr">
        <is>
          <t>/finance/gst-calculator</t>
        </is>
      </c>
      <c r="K819" s="5" t="inlineStr">
        <is>
          <t>Explain territorial rules: Intra-state sales split equally into CGST (Central) and SGST (State) e.g. 9% + 9% = 18%. Inter-state sales charge full 18% as IGST (Integrated).</t>
        </is>
      </c>
      <c r="L819" s="4" t="inlineStr">
        <is>
          <t>YES</t>
        </is>
      </c>
      <c r="M819" s="4" t="inlineStr">
        <is>
          <t>HIGH</t>
        </is>
      </c>
      <c r="N819" s="4" t="inlineStr">
        <is>
          <t>READY</t>
        </is>
      </c>
      <c r="O819" s="5" t="inlineStr"/>
      <c r="P819" s="5" t="inlineStr"/>
      <c r="Q819" s="5" t="inlineStr"/>
      <c r="R819" s="5" t="inlineStr"/>
    </row>
    <row r="820" ht="20" customHeight="1">
      <c r="A820" s="2" t="inlineStr">
        <is>
          <t>ST819</t>
        </is>
      </c>
      <c r="B820" s="3" t="inlineStr">
        <is>
          <t>How to Calculate Reverse GST: Finding the Original Base Price from MRP</t>
        </is>
      </c>
      <c r="C820" s="2" t="inlineStr">
        <is>
          <t>Finance</t>
        </is>
      </c>
      <c r="D820" s="3" t="inlineStr">
        <is>
          <t>GST</t>
        </is>
      </c>
      <c r="E820" s="2" t="inlineStr">
        <is>
          <t>Formula Guide</t>
        </is>
      </c>
      <c r="F820" s="2" t="inlineStr">
        <is>
          <t>How-To</t>
        </is>
      </c>
      <c r="G820" s="3" t="inlineStr">
        <is>
          <t>reverse gst calculation formula</t>
        </is>
      </c>
      <c r="H820" s="3" t="inlineStr">
        <is>
          <t>how to remove gst from total price, finding base price before gst, extract gst amount from mrp</t>
        </is>
      </c>
      <c r="I820" s="3" t="inlineStr">
        <is>
          <t>GST Calculator</t>
        </is>
      </c>
      <c r="J820" s="3" t="inlineStr">
        <is>
          <t>/finance/gst-calculator</t>
        </is>
      </c>
      <c r="K820" s="3" t="inlineStr">
        <is>
          <t>Formula: Base Price = Total MRP / (1 + GST% / 100). Address the classic student/trader fallacy of simply multiplying MRP by (1 - GST%), showing why that yields wrong figures.</t>
        </is>
      </c>
      <c r="L820" s="2" t="inlineStr">
        <is>
          <t>YES</t>
        </is>
      </c>
      <c r="M820" s="2" t="inlineStr">
        <is>
          <t>HIGH</t>
        </is>
      </c>
      <c r="N820" s="2" t="inlineStr">
        <is>
          <t>READY</t>
        </is>
      </c>
      <c r="O820" s="3" t="inlineStr"/>
      <c r="P820" s="3" t="inlineStr"/>
      <c r="Q820" s="3" t="inlineStr"/>
      <c r="R820" s="3" t="inlineStr"/>
    </row>
    <row r="821" ht="20" customHeight="1">
      <c r="A821" s="4" t="inlineStr">
        <is>
          <t>ST820</t>
        </is>
      </c>
      <c r="B821" s="5" t="inlineStr">
        <is>
          <t>Input Tax Credit (ITC) in GST: How Businesses Avoid Cascading Double Taxation</t>
        </is>
      </c>
      <c r="C821" s="4" t="inlineStr">
        <is>
          <t>Finance</t>
        </is>
      </c>
      <c r="D821" s="5" t="inlineStr">
        <is>
          <t>GST</t>
        </is>
      </c>
      <c r="E821" s="4" t="inlineStr">
        <is>
          <t>Explanation</t>
        </is>
      </c>
      <c r="F821" s="4" t="inlineStr">
        <is>
          <t>Educational</t>
        </is>
      </c>
      <c r="G821" s="5" t="inlineStr">
        <is>
          <t>how input tax credit works in gst</t>
        </is>
      </c>
      <c r="H821" s="5" t="inlineStr">
        <is>
          <t>itc calculation formula, claiming itc on purchases, avoiding tax on tax gst</t>
        </is>
      </c>
      <c r="I821" s="5" t="inlineStr">
        <is>
          <t>GST Calculator</t>
        </is>
      </c>
      <c r="J821" s="5" t="inlineStr">
        <is>
          <t>/finance/gst-calculator</t>
        </is>
      </c>
      <c r="K821" s="5" t="inlineStr">
        <is>
          <t>Walk through supply chain mechanics: Manufacturer -&gt; Wholesaler -&gt; Retailer, showing how GST paid on purchases offsets GST collected on sales, taxing only value addition.</t>
        </is>
      </c>
      <c r="L821" s="4" t="inlineStr">
        <is>
          <t>YES</t>
        </is>
      </c>
      <c r="M821" s="4" t="inlineStr">
        <is>
          <t>HIGH</t>
        </is>
      </c>
      <c r="N821" s="4" t="inlineStr">
        <is>
          <t>READY</t>
        </is>
      </c>
      <c r="O821" s="5" t="inlineStr"/>
      <c r="P821" s="5" t="inlineStr"/>
      <c r="Q821" s="5" t="inlineStr"/>
      <c r="R821" s="5" t="inlineStr"/>
    </row>
    <row r="822" ht="20" customHeight="1">
      <c r="A822" s="2" t="inlineStr">
        <is>
          <t>ST821</t>
        </is>
      </c>
      <c r="B822" s="3" t="inlineStr">
        <is>
          <t>The 4 Main GST Slabs in India: 5%, 12%, 18%, and 28% Item Classifications</t>
        </is>
      </c>
      <c r="C822" s="2" t="inlineStr">
        <is>
          <t>Finance</t>
        </is>
      </c>
      <c r="D822" s="3" t="inlineStr">
        <is>
          <t>GST</t>
        </is>
      </c>
      <c r="E822" s="2" t="inlineStr">
        <is>
          <t>Guide</t>
        </is>
      </c>
      <c r="F822" s="2" t="inlineStr">
        <is>
          <t>Reference</t>
        </is>
      </c>
      <c r="G822" s="3" t="inlineStr">
        <is>
          <t>gst slabs in india list</t>
        </is>
      </c>
      <c r="H822" s="3" t="inlineStr">
        <is>
          <t>what items are in 5 12 18 28 gst, current gst rates table, luxury cess under 28 percent</t>
        </is>
      </c>
      <c r="I822" s="3" t="inlineStr">
        <is>
          <t>GST Calculator</t>
        </is>
      </c>
      <c r="J822" s="3" t="inlineStr">
        <is>
          <t>/finance/gst-calculator</t>
        </is>
      </c>
      <c r="K822" s="3" t="inlineStr">
        <is>
          <t>Comprehensive reference of GST categories: Essential goods (5%), Standard items (12%), Services &amp; Electronics (18%), Demerit &amp; Luxury items (28% + Cess).</t>
        </is>
      </c>
      <c r="L822" s="2" t="inlineStr">
        <is>
          <t>YES</t>
        </is>
      </c>
      <c r="M822" s="2" t="inlineStr">
        <is>
          <t>HIGH</t>
        </is>
      </c>
      <c r="N822" s="2" t="inlineStr">
        <is>
          <t>READY</t>
        </is>
      </c>
      <c r="O822" s="3" t="inlineStr"/>
      <c r="P822" s="3" t="inlineStr"/>
      <c r="Q822" s="3" t="inlineStr"/>
      <c r="R822" s="3" t="inlineStr"/>
    </row>
    <row r="823" ht="20" customHeight="1">
      <c r="A823" s="4" t="inlineStr">
        <is>
          <t>ST822</t>
        </is>
      </c>
      <c r="B823" s="5" t="inlineStr">
        <is>
          <t>GST on Restaurant Bills: 5% Without ITC vs 18% in Luxury Hotels Explained</t>
        </is>
      </c>
      <c r="C823" s="4" t="inlineStr">
        <is>
          <t>Finance</t>
        </is>
      </c>
      <c r="D823" s="5" t="inlineStr">
        <is>
          <t>GST</t>
        </is>
      </c>
      <c r="E823" s="4" t="inlineStr">
        <is>
          <t>Guide</t>
        </is>
      </c>
      <c r="F823" s="4" t="inlineStr">
        <is>
          <t>Informational</t>
        </is>
      </c>
      <c r="G823" s="5" t="inlineStr">
        <is>
          <t>gst rate on restaurant bill</t>
        </is>
      </c>
      <c r="H823" s="5" t="inlineStr">
        <is>
          <t>ac vs non ac restaurant gst, service charge vs gst restaurant, 5 percent restaurant gst rules</t>
        </is>
      </c>
      <c r="I823" s="5" t="inlineStr">
        <is>
          <t>GST Calculator</t>
        </is>
      </c>
      <c r="J823" s="5" t="inlineStr">
        <is>
          <t>/finance/gst-calculator</t>
        </is>
      </c>
      <c r="K823" s="5" t="inlineStr">
        <is>
          <t>Clarify restaurant billing: standalone restaurants charge 5% GST without ITC benefit; hotel restaurants where room tariff exceeds Rs 7,500 charge 18% with ITC.</t>
        </is>
      </c>
      <c r="L823" s="4" t="inlineStr">
        <is>
          <t>YES</t>
        </is>
      </c>
      <c r="M823" s="4" t="inlineStr">
        <is>
          <t>HIGH</t>
        </is>
      </c>
      <c r="N823" s="4" t="inlineStr">
        <is>
          <t>READY</t>
        </is>
      </c>
      <c r="O823" s="5" t="inlineStr"/>
      <c r="P823" s="5" t="inlineStr"/>
      <c r="Q823" s="5" t="inlineStr"/>
      <c r="R823" s="5" t="inlineStr"/>
    </row>
    <row r="824" ht="20" customHeight="1">
      <c r="A824" s="2" t="inlineStr">
        <is>
          <t>ST823</t>
        </is>
      </c>
      <c r="B824" s="3" t="inlineStr">
        <is>
          <t>GST on Electronics and Laptops: How Students and Freelancers Can Claim ITC</t>
        </is>
      </c>
      <c r="C824" s="2" t="inlineStr">
        <is>
          <t>Finance</t>
        </is>
      </c>
      <c r="D824" s="3" t="inlineStr">
        <is>
          <t>GST</t>
        </is>
      </c>
      <c r="E824" s="2" t="inlineStr">
        <is>
          <t>Guide</t>
        </is>
      </c>
      <c r="F824" s="2" t="inlineStr">
        <is>
          <t>How-To</t>
        </is>
      </c>
      <c r="G824" s="3" t="inlineStr">
        <is>
          <t>claiming gst on laptop purchase for freelancers</t>
        </is>
      </c>
      <c r="H824" s="3" t="inlineStr">
        <is>
          <t>gst invoice for macbook laptop, saving 18 percent gst on electronics, itc on business gadgets</t>
        </is>
      </c>
      <c r="I824" s="3" t="inlineStr">
        <is>
          <t>GST Calculator</t>
        </is>
      </c>
      <c r="J824" s="3" t="inlineStr">
        <is>
          <t>/finance/gst-calculator</t>
        </is>
      </c>
      <c r="K824" s="3" t="inlineStr">
        <is>
          <t>Guide registered professionals on providing GSTIN during purchase on Amazon/stores to claim 18% Input Tax Credit against their business tax liability.</t>
        </is>
      </c>
      <c r="L824" s="2" t="inlineStr">
        <is>
          <t>YES</t>
        </is>
      </c>
      <c r="M824" s="2" t="inlineStr">
        <is>
          <t>HIGH</t>
        </is>
      </c>
      <c r="N824" s="2" t="inlineStr">
        <is>
          <t>READY</t>
        </is>
      </c>
      <c r="O824" s="3" t="inlineStr"/>
      <c r="P824" s="3" t="inlineStr"/>
      <c r="Q824" s="3" t="inlineStr"/>
      <c r="R824" s="3" t="inlineStr"/>
    </row>
    <row r="825" ht="20" customHeight="1">
      <c r="A825" s="4" t="inlineStr">
        <is>
          <t>ST824</t>
        </is>
      </c>
      <c r="B825" s="5" t="inlineStr">
        <is>
          <t>Composition Scheme in GST: Flat Turnover Tax Rules and Limitations</t>
        </is>
      </c>
      <c r="C825" s="4" t="inlineStr">
        <is>
          <t>Finance</t>
        </is>
      </c>
      <c r="D825" s="5" t="inlineStr">
        <is>
          <t>GST</t>
        </is>
      </c>
      <c r="E825" s="4" t="inlineStr">
        <is>
          <t>Guide</t>
        </is>
      </c>
      <c r="F825" s="4" t="inlineStr">
        <is>
          <t>Reference</t>
        </is>
      </c>
      <c r="G825" s="5" t="inlineStr">
        <is>
          <t>gst composition scheme turnover limit</t>
        </is>
      </c>
      <c r="H825" s="5" t="inlineStr">
        <is>
          <t>composition scheme tax rates 1 percent, who is eligible for composition scheme, pros and cons composition gst</t>
        </is>
      </c>
      <c r="I825" s="5" t="inlineStr">
        <is>
          <t>GST Calculator</t>
        </is>
      </c>
      <c r="J825" s="5" t="inlineStr">
        <is>
          <t>/finance/gst-calculator</t>
        </is>
      </c>
      <c r="K825" s="5" t="inlineStr">
        <is>
          <t>Explain simplified scheme for small businesses up to Rs 1.5 Crore turnover (1% traders/manufacturers, 5% restaurants), who cannot collect GST or claim ITC.</t>
        </is>
      </c>
      <c r="L825" s="4" t="inlineStr">
        <is>
          <t>YES</t>
        </is>
      </c>
      <c r="M825" s="4" t="inlineStr">
        <is>
          <t>MEDIUM</t>
        </is>
      </c>
      <c r="N825" s="4" t="inlineStr">
        <is>
          <t>READY</t>
        </is>
      </c>
      <c r="O825" s="5" t="inlineStr"/>
      <c r="P825" s="5" t="inlineStr"/>
      <c r="Q825" s="5" t="inlineStr"/>
      <c r="R825" s="5" t="inlineStr"/>
    </row>
    <row r="826" ht="20" customHeight="1">
      <c r="A826" s="2" t="inlineStr">
        <is>
          <t>ST825</t>
        </is>
      </c>
      <c r="B826" s="3" t="inlineStr">
        <is>
          <t>GST Exemption Threshold in India: Rs 40 Lakh for Goods vs Rs 20 Lakh for Services</t>
        </is>
      </c>
      <c r="C826" s="2" t="inlineStr">
        <is>
          <t>Finance</t>
        </is>
      </c>
      <c r="D826" s="3" t="inlineStr">
        <is>
          <t>GST</t>
        </is>
      </c>
      <c r="E826" s="2" t="inlineStr">
        <is>
          <t>Guide</t>
        </is>
      </c>
      <c r="F826" s="2" t="inlineStr">
        <is>
          <t>Reference</t>
        </is>
      </c>
      <c r="G826" s="3" t="inlineStr">
        <is>
          <t>gst registration turnover limit in india</t>
        </is>
      </c>
      <c r="H826" s="3" t="inlineStr">
        <is>
          <t>who must register for gst, 40 lakh goods threshold gst, 20 lakh services gst exemption</t>
        </is>
      </c>
      <c r="I826" s="3" t="inlineStr">
        <is>
          <t>GST Calculator</t>
        </is>
      </c>
      <c r="J826" s="3" t="inlineStr">
        <is>
          <t>/finance/gst-calculator</t>
        </is>
      </c>
      <c r="K826" s="3" t="inlineStr">
        <is>
          <t>Detail statutory registration thresholds: Rs 40 Lakh for goods (Rs 20 Lakh in special category states) and Rs 20 Lakh for service providers/freelancers.</t>
        </is>
      </c>
      <c r="L826" s="2" t="inlineStr">
        <is>
          <t>YES</t>
        </is>
      </c>
      <c r="M826" s="2" t="inlineStr">
        <is>
          <t>HIGH</t>
        </is>
      </c>
      <c r="N826" s="2" t="inlineStr">
        <is>
          <t>READY</t>
        </is>
      </c>
      <c r="O826" s="3" t="inlineStr"/>
      <c r="P826" s="3" t="inlineStr"/>
      <c r="Q826" s="3" t="inlineStr"/>
      <c r="R826" s="3" t="inlineStr"/>
    </row>
    <row r="827" ht="20" customHeight="1">
      <c r="A827" s="4" t="inlineStr">
        <is>
          <t>ST826</t>
        </is>
      </c>
      <c r="B827" s="5" t="inlineStr">
        <is>
          <t>5% GST on Rs 1,000 Purchase: Inclusive and Exclusive Calculation Breakdown</t>
        </is>
      </c>
      <c r="C827" s="4" t="inlineStr">
        <is>
          <t>Finance</t>
        </is>
      </c>
      <c r="D827" s="5" t="inlineStr">
        <is>
          <t>GST</t>
        </is>
      </c>
      <c r="E827" s="4" t="inlineStr">
        <is>
          <t>Example</t>
        </is>
      </c>
      <c r="F827" s="4" t="inlineStr">
        <is>
          <t>Educational</t>
        </is>
      </c>
      <c r="G827" s="5" t="inlineStr">
        <is>
          <t>5 percent gst on 1000</t>
        </is>
      </c>
      <c r="H827" s="5" t="inlineStr">
        <is>
          <t>gst calculation at 5 percent, 5 percent gst breakdown, calculate 5 gst on 1000</t>
        </is>
      </c>
      <c r="I827" s="5" t="inlineStr">
        <is>
          <t>GST Calculator</t>
        </is>
      </c>
      <c r="J827" s="5" t="inlineStr">
        <is>
          <t>/finance/gst-calculator</t>
        </is>
      </c>
      <c r="K827" s="5" t="inlineStr">
        <is>
          <t>Provide complete mathematical breakdown for 5% GST on a transaction of Rs 1,000: calculating exclusive addition, reverse inclusive extraction, and 50:50 CGST/SGST bifurcation.</t>
        </is>
      </c>
      <c r="L827" s="4" t="inlineStr">
        <is>
          <t>YES</t>
        </is>
      </c>
      <c r="M827" s="4" t="inlineStr">
        <is>
          <t>HIGH</t>
        </is>
      </c>
      <c r="N827" s="4" t="inlineStr">
        <is>
          <t>READY</t>
        </is>
      </c>
      <c r="O827" s="5" t="inlineStr"/>
      <c r="P827" s="5" t="inlineStr"/>
      <c r="Q827" s="5" t="inlineStr"/>
      <c r="R827" s="5" t="inlineStr"/>
    </row>
    <row r="828" ht="20" customHeight="1">
      <c r="A828" s="2" t="inlineStr">
        <is>
          <t>ST827</t>
        </is>
      </c>
      <c r="B828" s="3" t="inlineStr">
        <is>
          <t>5% GST on Rs 5,000 Apparel Bill: CGST and SGST Split Explained</t>
        </is>
      </c>
      <c r="C828" s="2" t="inlineStr">
        <is>
          <t>Finance</t>
        </is>
      </c>
      <c r="D828" s="3" t="inlineStr">
        <is>
          <t>GST</t>
        </is>
      </c>
      <c r="E828" s="2" t="inlineStr">
        <is>
          <t>Example</t>
        </is>
      </c>
      <c r="F828" s="2" t="inlineStr">
        <is>
          <t>Educational</t>
        </is>
      </c>
      <c r="G828" s="3" t="inlineStr">
        <is>
          <t>5 percent gst on 5000</t>
        </is>
      </c>
      <c r="H828" s="3" t="inlineStr">
        <is>
          <t>gst calculation at 5 percent, 5 percent gst breakdown, calculate 5 gst on 5000</t>
        </is>
      </c>
      <c r="I828" s="3" t="inlineStr">
        <is>
          <t>GST Calculator</t>
        </is>
      </c>
      <c r="J828" s="3" t="inlineStr">
        <is>
          <t>/finance/gst-calculator</t>
        </is>
      </c>
      <c r="K828" s="3" t="inlineStr">
        <is>
          <t>Provide complete mathematical breakdown for 5% GST on a transaction of Rs 5,000: calculating exclusive addition, reverse inclusive extraction, and 50:50 CGST/SGST bifurcation.</t>
        </is>
      </c>
      <c r="L828" s="2" t="inlineStr">
        <is>
          <t>YES</t>
        </is>
      </c>
      <c r="M828" s="2" t="inlineStr">
        <is>
          <t>MEDIUM</t>
        </is>
      </c>
      <c r="N828" s="2" t="inlineStr">
        <is>
          <t>READY</t>
        </is>
      </c>
      <c r="O828" s="3" t="inlineStr"/>
      <c r="P828" s="3" t="inlineStr"/>
      <c r="Q828" s="3" t="inlineStr"/>
      <c r="R828" s="3" t="inlineStr"/>
    </row>
    <row r="829" ht="20" customHeight="1">
      <c r="A829" s="4" t="inlineStr">
        <is>
          <t>ST828</t>
        </is>
      </c>
      <c r="B829" s="5" t="inlineStr">
        <is>
          <t>12% GST on Rs 2,000 Food Product: Base Price and Tax Share Calculation</t>
        </is>
      </c>
      <c r="C829" s="4" t="inlineStr">
        <is>
          <t>Finance</t>
        </is>
      </c>
      <c r="D829" s="5" t="inlineStr">
        <is>
          <t>GST</t>
        </is>
      </c>
      <c r="E829" s="4" t="inlineStr">
        <is>
          <t>Example</t>
        </is>
      </c>
      <c r="F829" s="4" t="inlineStr">
        <is>
          <t>Educational</t>
        </is>
      </c>
      <c r="G829" s="5" t="inlineStr">
        <is>
          <t>12 percent gst on 2000</t>
        </is>
      </c>
      <c r="H829" s="5" t="inlineStr">
        <is>
          <t>gst calculation at 12 percent, 12 percent gst breakdown, calculate 12 gst on 2000</t>
        </is>
      </c>
      <c r="I829" s="5" t="inlineStr">
        <is>
          <t>GST Calculator</t>
        </is>
      </c>
      <c r="J829" s="5" t="inlineStr">
        <is>
          <t>/finance/gst-calculator</t>
        </is>
      </c>
      <c r="K829" s="5" t="inlineStr">
        <is>
          <t>Provide complete mathematical breakdown for 12% GST on a transaction of Rs 2,000: calculating exclusive addition, reverse inclusive extraction, and 50:50 CGST/SGST bifurcation.</t>
        </is>
      </c>
      <c r="L829" s="4" t="inlineStr">
        <is>
          <t>YES</t>
        </is>
      </c>
      <c r="M829" s="4" t="inlineStr">
        <is>
          <t>MEDIUM</t>
        </is>
      </c>
      <c r="N829" s="4" t="inlineStr">
        <is>
          <t>READY</t>
        </is>
      </c>
      <c r="O829" s="5" t="inlineStr"/>
      <c r="P829" s="5" t="inlineStr"/>
      <c r="Q829" s="5" t="inlineStr"/>
      <c r="R829" s="5" t="inlineStr"/>
    </row>
    <row r="830" ht="20" customHeight="1">
      <c r="A830" s="2" t="inlineStr">
        <is>
          <t>ST829</t>
        </is>
      </c>
      <c r="B830" s="3" t="inlineStr">
        <is>
          <t>12% GST on Rs 10,000 Business Invoice: Step-by-Step Breakdown</t>
        </is>
      </c>
      <c r="C830" s="2" t="inlineStr">
        <is>
          <t>Finance</t>
        </is>
      </c>
      <c r="D830" s="3" t="inlineStr">
        <is>
          <t>GST</t>
        </is>
      </c>
      <c r="E830" s="2" t="inlineStr">
        <is>
          <t>Example</t>
        </is>
      </c>
      <c r="F830" s="2" t="inlineStr">
        <is>
          <t>Educational</t>
        </is>
      </c>
      <c r="G830" s="3" t="inlineStr">
        <is>
          <t>12 percent gst on 10000</t>
        </is>
      </c>
      <c r="H830" s="3" t="inlineStr">
        <is>
          <t>gst calculation at 12 percent, 12 percent gst breakdown, calculate 12 gst on 10000</t>
        </is>
      </c>
      <c r="I830" s="3" t="inlineStr">
        <is>
          <t>GST Calculator</t>
        </is>
      </c>
      <c r="J830" s="3" t="inlineStr">
        <is>
          <t>/finance/gst-calculator</t>
        </is>
      </c>
      <c r="K830" s="3" t="inlineStr">
        <is>
          <t>Provide complete mathematical breakdown for 12% GST on a transaction of Rs 10,000: calculating exclusive addition, reverse inclusive extraction, and 50:50 CGST/SGST bifurcation.</t>
        </is>
      </c>
      <c r="L830" s="2" t="inlineStr">
        <is>
          <t>YES</t>
        </is>
      </c>
      <c r="M830" s="2" t="inlineStr">
        <is>
          <t>MEDIUM</t>
        </is>
      </c>
      <c r="N830" s="2" t="inlineStr">
        <is>
          <t>READY</t>
        </is>
      </c>
      <c r="O830" s="3" t="inlineStr"/>
      <c r="P830" s="3" t="inlineStr"/>
      <c r="Q830" s="3" t="inlineStr"/>
      <c r="R830" s="3" t="inlineStr"/>
    </row>
    <row r="831" ht="20" customHeight="1">
      <c r="A831" s="4" t="inlineStr">
        <is>
          <t>ST830</t>
        </is>
      </c>
      <c r="B831" s="5" t="inlineStr">
        <is>
          <t>18% GST on Rs 500 Software Subscription: Exact Reverse Tax Extraction</t>
        </is>
      </c>
      <c r="C831" s="4" t="inlineStr">
        <is>
          <t>Finance</t>
        </is>
      </c>
      <c r="D831" s="5" t="inlineStr">
        <is>
          <t>GST</t>
        </is>
      </c>
      <c r="E831" s="4" t="inlineStr">
        <is>
          <t>Example</t>
        </is>
      </c>
      <c r="F831" s="4" t="inlineStr">
        <is>
          <t>Educational</t>
        </is>
      </c>
      <c r="G831" s="5" t="inlineStr">
        <is>
          <t>18 percent gst on 500</t>
        </is>
      </c>
      <c r="H831" s="5" t="inlineStr">
        <is>
          <t>gst calculation at 18 percent, 18 percent gst breakdown, calculate 18 gst on 500</t>
        </is>
      </c>
      <c r="I831" s="5" t="inlineStr">
        <is>
          <t>GST Calculator</t>
        </is>
      </c>
      <c r="J831" s="5" t="inlineStr">
        <is>
          <t>/finance/gst-calculator</t>
        </is>
      </c>
      <c r="K831" s="5" t="inlineStr">
        <is>
          <t>Provide complete mathematical breakdown for 18% GST on a transaction of Rs 500: calculating exclusive addition, reverse inclusive extraction, and 50:50 CGST/SGST bifurcation.</t>
        </is>
      </c>
      <c r="L831" s="4" t="inlineStr">
        <is>
          <t>YES</t>
        </is>
      </c>
      <c r="M831" s="4" t="inlineStr">
        <is>
          <t>MEDIUM</t>
        </is>
      </c>
      <c r="N831" s="4" t="inlineStr">
        <is>
          <t>READY</t>
        </is>
      </c>
      <c r="O831" s="5" t="inlineStr"/>
      <c r="P831" s="5" t="inlineStr"/>
      <c r="Q831" s="5" t="inlineStr"/>
      <c r="R831" s="5" t="inlineStr"/>
    </row>
    <row r="832" ht="20" customHeight="1">
      <c r="A832" s="2" t="inlineStr">
        <is>
          <t>ST831</t>
        </is>
      </c>
      <c r="B832" s="3" t="inlineStr">
        <is>
          <t>18% GST on Rs 1,000 Bill: How Much Is the Exact Tax and Base Amount?</t>
        </is>
      </c>
      <c r="C832" s="2" t="inlineStr">
        <is>
          <t>Finance</t>
        </is>
      </c>
      <c r="D832" s="3" t="inlineStr">
        <is>
          <t>GST</t>
        </is>
      </c>
      <c r="E832" s="2" t="inlineStr">
        <is>
          <t>Example</t>
        </is>
      </c>
      <c r="F832" s="2" t="inlineStr">
        <is>
          <t>Educational</t>
        </is>
      </c>
      <c r="G832" s="3" t="inlineStr">
        <is>
          <t>18 percent gst on 1000</t>
        </is>
      </c>
      <c r="H832" s="3" t="inlineStr">
        <is>
          <t>gst calculation at 18 percent, 18 percent gst breakdown, calculate 18 gst on 1000</t>
        </is>
      </c>
      <c r="I832" s="3" t="inlineStr">
        <is>
          <t>GST Calculator</t>
        </is>
      </c>
      <c r="J832" s="3" t="inlineStr">
        <is>
          <t>/finance/gst-calculator</t>
        </is>
      </c>
      <c r="K832" s="3" t="inlineStr">
        <is>
          <t>Provide complete mathematical breakdown for 18% GST on a transaction of Rs 1,000: calculating exclusive addition, reverse inclusive extraction, and 50:50 CGST/SGST bifurcation.</t>
        </is>
      </c>
      <c r="L832" s="2" t="inlineStr">
        <is>
          <t>YES</t>
        </is>
      </c>
      <c r="M832" s="2" t="inlineStr">
        <is>
          <t>HIGH</t>
        </is>
      </c>
      <c r="N832" s="2" t="inlineStr">
        <is>
          <t>READY</t>
        </is>
      </c>
      <c r="O832" s="3" t="inlineStr"/>
      <c r="P832" s="3" t="inlineStr"/>
      <c r="Q832" s="3" t="inlineStr"/>
      <c r="R832" s="3" t="inlineStr"/>
    </row>
    <row r="833" ht="20" customHeight="1">
      <c r="A833" s="4" t="inlineStr">
        <is>
          <t>ST832</t>
        </is>
      </c>
      <c r="B833" s="5" t="inlineStr">
        <is>
          <t>18% GST on Rs 5,000 Professional Service Fee: CGST/SGST vs IGST</t>
        </is>
      </c>
      <c r="C833" s="4" t="inlineStr">
        <is>
          <t>Finance</t>
        </is>
      </c>
      <c r="D833" s="5" t="inlineStr">
        <is>
          <t>GST</t>
        </is>
      </c>
      <c r="E833" s="4" t="inlineStr">
        <is>
          <t>Example</t>
        </is>
      </c>
      <c r="F833" s="4" t="inlineStr">
        <is>
          <t>Educational</t>
        </is>
      </c>
      <c r="G833" s="5" t="inlineStr">
        <is>
          <t>18 percent gst on 5000</t>
        </is>
      </c>
      <c r="H833" s="5" t="inlineStr">
        <is>
          <t>gst calculation at 18 percent, 18 percent gst breakdown, calculate 18 gst on 5000</t>
        </is>
      </c>
      <c r="I833" s="5" t="inlineStr">
        <is>
          <t>GST Calculator</t>
        </is>
      </c>
      <c r="J833" s="5" t="inlineStr">
        <is>
          <t>/finance/gst-calculator</t>
        </is>
      </c>
      <c r="K833" s="5" t="inlineStr">
        <is>
          <t>Provide complete mathematical breakdown for 18% GST on a transaction of Rs 5,000: calculating exclusive addition, reverse inclusive extraction, and 50:50 CGST/SGST bifurcation.</t>
        </is>
      </c>
      <c r="L833" s="4" t="inlineStr">
        <is>
          <t>YES</t>
        </is>
      </c>
      <c r="M833" s="4" t="inlineStr">
        <is>
          <t>MEDIUM</t>
        </is>
      </c>
      <c r="N833" s="4" t="inlineStr">
        <is>
          <t>READY</t>
        </is>
      </c>
      <c r="O833" s="5" t="inlineStr"/>
      <c r="P833" s="5" t="inlineStr"/>
      <c r="Q833" s="5" t="inlineStr"/>
      <c r="R833" s="5" t="inlineStr"/>
    </row>
    <row r="834" ht="20" customHeight="1">
      <c r="A834" s="2" t="inlineStr">
        <is>
          <t>ST833</t>
        </is>
      </c>
      <c r="B834" s="3" t="inlineStr">
        <is>
          <t>18% GST on Rs 10,000 Electronics Purchase: Inclusive vs Exclusive Cost</t>
        </is>
      </c>
      <c r="C834" s="2" t="inlineStr">
        <is>
          <t>Finance</t>
        </is>
      </c>
      <c r="D834" s="3" t="inlineStr">
        <is>
          <t>GST</t>
        </is>
      </c>
      <c r="E834" s="2" t="inlineStr">
        <is>
          <t>Example</t>
        </is>
      </c>
      <c r="F834" s="2" t="inlineStr">
        <is>
          <t>Educational</t>
        </is>
      </c>
      <c r="G834" s="3" t="inlineStr">
        <is>
          <t>18 percent gst on 10000</t>
        </is>
      </c>
      <c r="H834" s="3" t="inlineStr">
        <is>
          <t>gst calculation at 18 percent, 18 percent gst breakdown, calculate 18 gst on 10000</t>
        </is>
      </c>
      <c r="I834" s="3" t="inlineStr">
        <is>
          <t>GST Calculator</t>
        </is>
      </c>
      <c r="J834" s="3" t="inlineStr">
        <is>
          <t>/finance/gst-calculator</t>
        </is>
      </c>
      <c r="K834" s="3" t="inlineStr">
        <is>
          <t>Provide complete mathematical breakdown for 18% GST on a transaction of Rs 10,000: calculating exclusive addition, reverse inclusive extraction, and 50:50 CGST/SGST bifurcation.</t>
        </is>
      </c>
      <c r="L834" s="2" t="inlineStr">
        <is>
          <t>YES</t>
        </is>
      </c>
      <c r="M834" s="2" t="inlineStr">
        <is>
          <t>MEDIUM</t>
        </is>
      </c>
      <c r="N834" s="2" t="inlineStr">
        <is>
          <t>READY</t>
        </is>
      </c>
      <c r="O834" s="3" t="inlineStr"/>
      <c r="P834" s="3" t="inlineStr"/>
      <c r="Q834" s="3" t="inlineStr"/>
      <c r="R834" s="3" t="inlineStr"/>
    </row>
    <row r="835" ht="20" customHeight="1">
      <c r="A835" s="4" t="inlineStr">
        <is>
          <t>ST834</t>
        </is>
      </c>
      <c r="B835" s="5" t="inlineStr">
        <is>
          <t>18% GST on Rs 50,000 Laptop Purchase: Calculating Rs 9,000 ITC Savings</t>
        </is>
      </c>
      <c r="C835" s="4" t="inlineStr">
        <is>
          <t>Finance</t>
        </is>
      </c>
      <c r="D835" s="5" t="inlineStr">
        <is>
          <t>GST</t>
        </is>
      </c>
      <c r="E835" s="4" t="inlineStr">
        <is>
          <t>Example</t>
        </is>
      </c>
      <c r="F835" s="4" t="inlineStr">
        <is>
          <t>Educational</t>
        </is>
      </c>
      <c r="G835" s="5" t="inlineStr">
        <is>
          <t>18 percent gst on 50000</t>
        </is>
      </c>
      <c r="H835" s="5" t="inlineStr">
        <is>
          <t>gst calculation at 18 percent, 18 percent gst breakdown, calculate 18 gst on 50000</t>
        </is>
      </c>
      <c r="I835" s="5" t="inlineStr">
        <is>
          <t>GST Calculator</t>
        </is>
      </c>
      <c r="J835" s="5" t="inlineStr">
        <is>
          <t>/finance/gst-calculator</t>
        </is>
      </c>
      <c r="K835" s="5" t="inlineStr">
        <is>
          <t>Provide complete mathematical breakdown for 18% GST on a transaction of Rs 50,000: calculating exclusive addition, reverse inclusive extraction, and 50:50 CGST/SGST bifurcation.</t>
        </is>
      </c>
      <c r="L835" s="4" t="inlineStr">
        <is>
          <t>YES</t>
        </is>
      </c>
      <c r="M835" s="4" t="inlineStr">
        <is>
          <t>HIGH</t>
        </is>
      </c>
      <c r="N835" s="4" t="inlineStr">
        <is>
          <t>READY</t>
        </is>
      </c>
      <c r="O835" s="5" t="inlineStr"/>
      <c r="P835" s="5" t="inlineStr"/>
      <c r="Q835" s="5" t="inlineStr"/>
      <c r="R835" s="5" t="inlineStr"/>
    </row>
    <row r="836" ht="20" customHeight="1">
      <c r="A836" s="2" t="inlineStr">
        <is>
          <t>ST835</t>
        </is>
      </c>
      <c r="B836" s="3" t="inlineStr">
        <is>
          <t>18% GST on Rs 1 Lakh Consulting Contract: Complete Invoicing Guide</t>
        </is>
      </c>
      <c r="C836" s="2" t="inlineStr">
        <is>
          <t>Finance</t>
        </is>
      </c>
      <c r="D836" s="3" t="inlineStr">
        <is>
          <t>GST</t>
        </is>
      </c>
      <c r="E836" s="2" t="inlineStr">
        <is>
          <t>Example</t>
        </is>
      </c>
      <c r="F836" s="2" t="inlineStr">
        <is>
          <t>Educational</t>
        </is>
      </c>
      <c r="G836" s="3" t="inlineStr">
        <is>
          <t>18 percent gst on 1 lakh</t>
        </is>
      </c>
      <c r="H836" s="3" t="inlineStr">
        <is>
          <t>gst calculation at 18 percent, 18 percent gst breakdown, calculate 18 gst on 100000</t>
        </is>
      </c>
      <c r="I836" s="3" t="inlineStr">
        <is>
          <t>GST Calculator</t>
        </is>
      </c>
      <c r="J836" s="3" t="inlineStr">
        <is>
          <t>/finance/gst-calculator</t>
        </is>
      </c>
      <c r="K836" s="3" t="inlineStr">
        <is>
          <t>Provide complete mathematical breakdown for 18% GST on a transaction of Rs 100,000: calculating exclusive addition, reverse inclusive extraction, and 50:50 CGST/SGST bifurcation.</t>
        </is>
      </c>
      <c r="L836" s="2" t="inlineStr">
        <is>
          <t>YES</t>
        </is>
      </c>
      <c r="M836" s="2" t="inlineStr">
        <is>
          <t>HIGH</t>
        </is>
      </c>
      <c r="N836" s="2" t="inlineStr">
        <is>
          <t>READY</t>
        </is>
      </c>
      <c r="O836" s="3" t="inlineStr"/>
      <c r="P836" s="3" t="inlineStr"/>
      <c r="Q836" s="3" t="inlineStr"/>
      <c r="R836" s="3" t="inlineStr"/>
    </row>
    <row r="837" ht="20" customHeight="1">
      <c r="A837" s="4" t="inlineStr">
        <is>
          <t>ST836</t>
        </is>
      </c>
      <c r="B837" s="5" t="inlineStr">
        <is>
          <t>28% GST on Rs 10,000 White Goods Appliance: Tax and Base Separation</t>
        </is>
      </c>
      <c r="C837" s="4" t="inlineStr">
        <is>
          <t>Finance</t>
        </is>
      </c>
      <c r="D837" s="5" t="inlineStr">
        <is>
          <t>GST</t>
        </is>
      </c>
      <c r="E837" s="4" t="inlineStr">
        <is>
          <t>Example</t>
        </is>
      </c>
      <c r="F837" s="4" t="inlineStr">
        <is>
          <t>Educational</t>
        </is>
      </c>
      <c r="G837" s="5" t="inlineStr">
        <is>
          <t>28 percent gst on 10000</t>
        </is>
      </c>
      <c r="H837" s="5" t="inlineStr">
        <is>
          <t>gst calculation at 28 percent, 28 percent gst breakdown, calculate 28 gst on 10000</t>
        </is>
      </c>
      <c r="I837" s="5" t="inlineStr">
        <is>
          <t>GST Calculator</t>
        </is>
      </c>
      <c r="J837" s="5" t="inlineStr">
        <is>
          <t>/finance/gst-calculator</t>
        </is>
      </c>
      <c r="K837" s="5" t="inlineStr">
        <is>
          <t>Provide complete mathematical breakdown for 28% GST on a transaction of Rs 10,000: calculating exclusive addition, reverse inclusive extraction, and 50:50 CGST/SGST bifurcation.</t>
        </is>
      </c>
      <c r="L837" s="4" t="inlineStr">
        <is>
          <t>YES</t>
        </is>
      </c>
      <c r="M837" s="4" t="inlineStr">
        <is>
          <t>MEDIUM</t>
        </is>
      </c>
      <c r="N837" s="4" t="inlineStr">
        <is>
          <t>READY</t>
        </is>
      </c>
      <c r="O837" s="5" t="inlineStr"/>
      <c r="P837" s="5" t="inlineStr"/>
      <c r="Q837" s="5" t="inlineStr"/>
      <c r="R837" s="5" t="inlineStr"/>
    </row>
    <row r="838" ht="20" customHeight="1">
      <c r="A838" s="2" t="inlineStr">
        <is>
          <t>ST837</t>
        </is>
      </c>
      <c r="B838" s="3" t="inlineStr">
        <is>
          <t>28% GST on Rs 50,000 Air Conditioner: High Tax Slab Breakdown</t>
        </is>
      </c>
      <c r="C838" s="2" t="inlineStr">
        <is>
          <t>Finance</t>
        </is>
      </c>
      <c r="D838" s="3" t="inlineStr">
        <is>
          <t>GST</t>
        </is>
      </c>
      <c r="E838" s="2" t="inlineStr">
        <is>
          <t>Example</t>
        </is>
      </c>
      <c r="F838" s="2" t="inlineStr">
        <is>
          <t>Educational</t>
        </is>
      </c>
      <c r="G838" s="3" t="inlineStr">
        <is>
          <t>28 percent gst on 50000</t>
        </is>
      </c>
      <c r="H838" s="3" t="inlineStr">
        <is>
          <t>gst calculation at 28 percent, 28 percent gst breakdown, calculate 28 gst on 50000</t>
        </is>
      </c>
      <c r="I838" s="3" t="inlineStr">
        <is>
          <t>GST Calculator</t>
        </is>
      </c>
      <c r="J838" s="3" t="inlineStr">
        <is>
          <t>/finance/gst-calculator</t>
        </is>
      </c>
      <c r="K838" s="3" t="inlineStr">
        <is>
          <t>Provide complete mathematical breakdown for 28% GST on a transaction of Rs 50,000: calculating exclusive addition, reverse inclusive extraction, and 50:50 CGST/SGST bifurcation.</t>
        </is>
      </c>
      <c r="L838" s="2" t="inlineStr">
        <is>
          <t>YES</t>
        </is>
      </c>
      <c r="M838" s="2" t="inlineStr">
        <is>
          <t>HIGH</t>
        </is>
      </c>
      <c r="N838" s="2" t="inlineStr">
        <is>
          <t>READY</t>
        </is>
      </c>
      <c r="O838" s="3" t="inlineStr"/>
      <c r="P838" s="3" t="inlineStr"/>
      <c r="Q838" s="3" t="inlineStr"/>
      <c r="R838" s="3" t="inlineStr"/>
    </row>
    <row r="839" ht="20" customHeight="1">
      <c r="A839" s="4" t="inlineStr">
        <is>
          <t>ST838</t>
        </is>
      </c>
      <c r="B839" s="5" t="inlineStr">
        <is>
          <t>28% GST on Rs 1 Lakh Two-Wheeler: Calculating Base Price, Tax, and Road Cess</t>
        </is>
      </c>
      <c r="C839" s="4" t="inlineStr">
        <is>
          <t>Finance</t>
        </is>
      </c>
      <c r="D839" s="5" t="inlineStr">
        <is>
          <t>GST</t>
        </is>
      </c>
      <c r="E839" s="4" t="inlineStr">
        <is>
          <t>Example</t>
        </is>
      </c>
      <c r="F839" s="4" t="inlineStr">
        <is>
          <t>Educational</t>
        </is>
      </c>
      <c r="G839" s="5" t="inlineStr">
        <is>
          <t>28 percent gst on 1 lakh bike</t>
        </is>
      </c>
      <c r="H839" s="5" t="inlineStr">
        <is>
          <t>gst calculation at 28 percent, 28 percent gst breakdown, calculate 28 gst on 100000</t>
        </is>
      </c>
      <c r="I839" s="5" t="inlineStr">
        <is>
          <t>GST Calculator</t>
        </is>
      </c>
      <c r="J839" s="5" t="inlineStr">
        <is>
          <t>/finance/gst-calculator</t>
        </is>
      </c>
      <c r="K839" s="5" t="inlineStr">
        <is>
          <t>Provide complete mathematical breakdown for 28% GST on a transaction of Rs 100,000: calculating exclusive addition, reverse inclusive extraction, and 50:50 CGST/SGST bifurcation.</t>
        </is>
      </c>
      <c r="L839" s="4" t="inlineStr">
        <is>
          <t>YES</t>
        </is>
      </c>
      <c r="M839" s="4" t="inlineStr">
        <is>
          <t>HIGH</t>
        </is>
      </c>
      <c r="N839" s="4" t="inlineStr">
        <is>
          <t>READY</t>
        </is>
      </c>
      <c r="O839" s="5" t="inlineStr"/>
      <c r="P839" s="5" t="inlineStr"/>
      <c r="Q839" s="5" t="inlineStr"/>
      <c r="R839" s="5" t="inlineStr"/>
    </row>
    <row r="840" ht="20" customHeight="1">
      <c r="A840" s="2" t="inlineStr">
        <is>
          <t>ST839</t>
        </is>
      </c>
      <c r="B840" s="3" t="inlineStr">
        <is>
          <t>0.25% Special GST on Rough Diamonds and Precious Stones Explained</t>
        </is>
      </c>
      <c r="C840" s="2" t="inlineStr">
        <is>
          <t>Finance</t>
        </is>
      </c>
      <c r="D840" s="3" t="inlineStr">
        <is>
          <t>GST</t>
        </is>
      </c>
      <c r="E840" s="2" t="inlineStr">
        <is>
          <t>Example</t>
        </is>
      </c>
      <c r="F840" s="2" t="inlineStr">
        <is>
          <t>Educational</t>
        </is>
      </c>
      <c r="G840" s="3" t="inlineStr">
        <is>
          <t>0.25 percent gst rate</t>
        </is>
      </c>
      <c r="H840" s="3" t="inlineStr">
        <is>
          <t>gst calculation at 0.25 percent, 0.25 percent gst breakdown, calculate 0.25 gst on 100000</t>
        </is>
      </c>
      <c r="I840" s="3" t="inlineStr">
        <is>
          <t>GST Calculator</t>
        </is>
      </c>
      <c r="J840" s="3" t="inlineStr">
        <is>
          <t>/finance/gst-calculator</t>
        </is>
      </c>
      <c r="K840" s="3" t="inlineStr">
        <is>
          <t>Provide complete mathematical breakdown for 0.25% GST on a transaction of Rs 100,000: calculating exclusive addition, reverse inclusive extraction, and 50:50 CGST/SGST bifurcation.</t>
        </is>
      </c>
      <c r="L840" s="2" t="inlineStr">
        <is>
          <t>YES</t>
        </is>
      </c>
      <c r="M840" s="2" t="inlineStr">
        <is>
          <t>MEDIUM</t>
        </is>
      </c>
      <c r="N840" s="2" t="inlineStr">
        <is>
          <t>READY</t>
        </is>
      </c>
      <c r="O840" s="3" t="inlineStr"/>
      <c r="P840" s="3" t="inlineStr"/>
      <c r="Q840" s="3" t="inlineStr"/>
      <c r="R840" s="3" t="inlineStr"/>
    </row>
    <row r="841" ht="20" customHeight="1">
      <c r="A841" s="4" t="inlineStr">
        <is>
          <t>ST840</t>
        </is>
      </c>
      <c r="B841" s="5" t="inlineStr">
        <is>
          <t>3% GST on Gold Jewelry: Making Charges vs Pure Gold Tax Calculation</t>
        </is>
      </c>
      <c r="C841" s="4" t="inlineStr">
        <is>
          <t>Finance</t>
        </is>
      </c>
      <c r="D841" s="5" t="inlineStr">
        <is>
          <t>GST</t>
        </is>
      </c>
      <c r="E841" s="4" t="inlineStr">
        <is>
          <t>Example</t>
        </is>
      </c>
      <c r="F841" s="4" t="inlineStr">
        <is>
          <t>Educational</t>
        </is>
      </c>
      <c r="G841" s="5" t="inlineStr">
        <is>
          <t>3 percent gst on gold</t>
        </is>
      </c>
      <c r="H841" s="5" t="inlineStr">
        <is>
          <t>gst calculation at 3 percent, 3 percent gst breakdown, calculate 3 gst on 100000</t>
        </is>
      </c>
      <c r="I841" s="5" t="inlineStr">
        <is>
          <t>GST Calculator</t>
        </is>
      </c>
      <c r="J841" s="5" t="inlineStr">
        <is>
          <t>/finance/gst-calculator</t>
        </is>
      </c>
      <c r="K841" s="5" t="inlineStr">
        <is>
          <t>Provide complete mathematical breakdown for 3% GST on a transaction of Rs 100,000: calculating exclusive addition, reverse inclusive extraction, and 50:50 CGST/SGST bifurcation.</t>
        </is>
      </c>
      <c r="L841" s="4" t="inlineStr">
        <is>
          <t>YES</t>
        </is>
      </c>
      <c r="M841" s="4" t="inlineStr">
        <is>
          <t>HIGH</t>
        </is>
      </c>
      <c r="N841" s="4" t="inlineStr">
        <is>
          <t>READY</t>
        </is>
      </c>
      <c r="O841" s="5" t="inlineStr"/>
      <c r="P841" s="5" t="inlineStr"/>
      <c r="Q841" s="5" t="inlineStr"/>
      <c r="R841" s="5" t="inlineStr"/>
    </row>
    <row r="842" ht="20" customHeight="1">
      <c r="A842" s="2" t="inlineStr">
        <is>
          <t>ST841</t>
        </is>
      </c>
      <c r="B842" s="3" t="inlineStr">
        <is>
          <t>How to Calculate GST on Export of Services: LUT (Letter of Undertaking) Zero-Rated Rules</t>
        </is>
      </c>
      <c r="C842" s="2" t="inlineStr">
        <is>
          <t>Finance</t>
        </is>
      </c>
      <c r="D842" s="3" t="inlineStr">
        <is>
          <t>GST</t>
        </is>
      </c>
      <c r="E842" s="2" t="inlineStr">
        <is>
          <t>Guide</t>
        </is>
      </c>
      <c r="F842" s="2" t="inlineStr">
        <is>
          <t>How-To</t>
        </is>
      </c>
      <c r="G842" s="3" t="inlineStr">
        <is>
          <t>how to export services without paying gst lut</t>
        </is>
      </c>
      <c r="H842" s="3" t="inlineStr">
        <is>
          <t>zero rated supply gst export, filing lut online gst portal, freelance foreign clients gst</t>
        </is>
      </c>
      <c r="I842" s="3" t="inlineStr">
        <is>
          <t>GST Calculator</t>
        </is>
      </c>
      <c r="J842" s="3" t="inlineStr">
        <is>
          <t>/finance/gst-calculator</t>
        </is>
      </c>
      <c r="K842" s="3" t="inlineStr">
        <is>
          <t>Explain Section 16 of IGST Act: exporting software/consulting to foreign clients is zero-rated, allowing freelancers to file an online LUT and bill with 0% GST while claiming full ITC.</t>
        </is>
      </c>
      <c r="L842" s="2" t="inlineStr">
        <is>
          <t>YES</t>
        </is>
      </c>
      <c r="M842" s="2" t="inlineStr">
        <is>
          <t>HIGH</t>
        </is>
      </c>
      <c r="N842" s="2" t="inlineStr">
        <is>
          <t>READY</t>
        </is>
      </c>
      <c r="O842" s="3" t="inlineStr"/>
      <c r="P842" s="3" t="inlineStr"/>
      <c r="Q842" s="3" t="inlineStr"/>
      <c r="R842" s="3" t="inlineStr"/>
    </row>
    <row r="843" ht="20" customHeight="1">
      <c r="A843" s="4" t="inlineStr">
        <is>
          <t>ST842</t>
        </is>
      </c>
      <c r="B843" s="5" t="inlineStr">
        <is>
          <t>GST on Real Estate Under-Construction Flats: 1% Affordable vs 5% Standard Without ITC</t>
        </is>
      </c>
      <c r="C843" s="4" t="inlineStr">
        <is>
          <t>Finance</t>
        </is>
      </c>
      <c r="D843" s="5" t="inlineStr">
        <is>
          <t>GST</t>
        </is>
      </c>
      <c r="E843" s="4" t="inlineStr">
        <is>
          <t>Guide</t>
        </is>
      </c>
      <c r="F843" s="4" t="inlineStr">
        <is>
          <t>Reference</t>
        </is>
      </c>
      <c r="G843" s="5" t="inlineStr">
        <is>
          <t>gst on under construction property</t>
        </is>
      </c>
      <c r="H843" s="5" t="inlineStr">
        <is>
          <t>gst on residential property 5 percent, affordable housing 1 percent gst, is there gst on ready to move flat</t>
        </is>
      </c>
      <c r="I843" s="5" t="inlineStr">
        <is>
          <t>GST Calculator</t>
        </is>
      </c>
      <c r="J843" s="5" t="inlineStr">
        <is>
          <t>/finance/gst-calculator</t>
        </is>
      </c>
      <c r="K843" s="5" t="inlineStr">
        <is>
          <t>Explain property GST rules: 1% for affordable housing, 5% for standard residential, and 0% GST on completed ready-to-move-in flats with a Completion Certificate (CC).</t>
        </is>
      </c>
      <c r="L843" s="4" t="inlineStr">
        <is>
          <t>YES</t>
        </is>
      </c>
      <c r="M843" s="4" t="inlineStr">
        <is>
          <t>HIGH</t>
        </is>
      </c>
      <c r="N843" s="4" t="inlineStr">
        <is>
          <t>READY</t>
        </is>
      </c>
      <c r="O843" s="5" t="inlineStr"/>
      <c r="P843" s="5" t="inlineStr"/>
      <c r="Q843" s="5" t="inlineStr"/>
      <c r="R843" s="5" t="inlineStr"/>
    </row>
    <row r="844" ht="20" customHeight="1">
      <c r="A844" s="2" t="inlineStr">
        <is>
          <t>ST843</t>
        </is>
      </c>
      <c r="B844" s="3" t="inlineStr">
        <is>
          <t>How to Verify GSTIN Authenticity Online on the Official GST Portal</t>
        </is>
      </c>
      <c r="C844" s="2" t="inlineStr">
        <is>
          <t>Finance</t>
        </is>
      </c>
      <c r="D844" s="3" t="inlineStr">
        <is>
          <t>GST</t>
        </is>
      </c>
      <c r="E844" s="2" t="inlineStr">
        <is>
          <t>How-To</t>
        </is>
      </c>
      <c r="F844" s="2" t="inlineStr">
        <is>
          <t>How-To</t>
        </is>
      </c>
      <c r="G844" s="3" t="inlineStr">
        <is>
          <t>how to verify gst number online</t>
        </is>
      </c>
      <c r="H844" s="3" t="inlineStr">
        <is>
          <t>verify gstin portal, fake gst invoice detection, checking active gst registration</t>
        </is>
      </c>
      <c r="I844" s="3" t="inlineStr">
        <is>
          <t>GST Calculator</t>
        </is>
      </c>
      <c r="J844" s="3" t="inlineStr">
        <is>
          <t>/finance/gst-calculator</t>
        </is>
      </c>
      <c r="K844" s="3" t="inlineStr">
        <is>
          <t>Step-by-step guide to entering 15-digit GSTIN on gst.gov.in to verify trade name, legal status, filing compliance, and active registration before paying invoices.</t>
        </is>
      </c>
      <c r="L844" s="2" t="inlineStr">
        <is>
          <t>YES</t>
        </is>
      </c>
      <c r="M844" s="2" t="inlineStr">
        <is>
          <t>HIGH</t>
        </is>
      </c>
      <c r="N844" s="2" t="inlineStr">
        <is>
          <t>READY</t>
        </is>
      </c>
      <c r="O844" s="3" t="inlineStr"/>
      <c r="P844" s="3" t="inlineStr"/>
      <c r="Q844" s="3" t="inlineStr"/>
      <c r="R844" s="3" t="inlineStr"/>
    </row>
    <row r="845" ht="20" customHeight="1">
      <c r="A845" s="4" t="inlineStr">
        <is>
          <t>ST844</t>
        </is>
      </c>
      <c r="B845" s="5" t="inlineStr">
        <is>
          <t>What Is the 15-Digit Structure of an Indian GSTIN? Every Code Explained</t>
        </is>
      </c>
      <c r="C845" s="4" t="inlineStr">
        <is>
          <t>Finance</t>
        </is>
      </c>
      <c r="D845" s="5" t="inlineStr">
        <is>
          <t>GST</t>
        </is>
      </c>
      <c r="E845" s="4" t="inlineStr">
        <is>
          <t>Explanation</t>
        </is>
      </c>
      <c r="F845" s="4" t="inlineStr">
        <is>
          <t>Reference</t>
        </is>
      </c>
      <c r="G845" s="5" t="inlineStr">
        <is>
          <t>structure of 15 digit gst number</t>
        </is>
      </c>
      <c r="H845" s="5" t="inlineStr">
        <is>
          <t>decoding gstin format, state code pan in gst number, checksum digit gst</t>
        </is>
      </c>
      <c r="I845" s="5" t="inlineStr">
        <is>
          <t>GST Calculator</t>
        </is>
      </c>
      <c r="J845" s="5" t="inlineStr">
        <is>
          <t>/finance/gst-calculator</t>
        </is>
      </c>
      <c r="K845" s="5" t="inlineStr">
        <is>
          <t>Break down the 15 digits: 2 digits (State Code) + 10 digits (PAN) + 1 digit (Entity Code) + 'Z' (Default) + 1 digit (Checksum).</t>
        </is>
      </c>
      <c r="L845" s="4" t="inlineStr">
        <is>
          <t>YES</t>
        </is>
      </c>
      <c r="M845" s="4" t="inlineStr">
        <is>
          <t>HIGH</t>
        </is>
      </c>
      <c r="N845" s="4" t="inlineStr">
        <is>
          <t>READY</t>
        </is>
      </c>
      <c r="O845" s="5" t="inlineStr"/>
      <c r="P845" s="5" t="inlineStr"/>
      <c r="Q845" s="5" t="inlineStr"/>
      <c r="R845" s="5" t="inlineStr"/>
    </row>
    <row r="846" ht="20" customHeight="1">
      <c r="A846" s="2" t="inlineStr">
        <is>
          <t>ST845</t>
        </is>
      </c>
      <c r="B846" s="3" t="inlineStr">
        <is>
          <t>GST Late Fees and Interest Calculation: The Rs 50/Day and 18% Annual Rule</t>
        </is>
      </c>
      <c r="C846" s="2" t="inlineStr">
        <is>
          <t>Finance</t>
        </is>
      </c>
      <c r="D846" s="3" t="inlineStr">
        <is>
          <t>GST</t>
        </is>
      </c>
      <c r="E846" s="2" t="inlineStr">
        <is>
          <t>Formula Guide</t>
        </is>
      </c>
      <c r="F846" s="2" t="inlineStr">
        <is>
          <t>How-To</t>
        </is>
      </c>
      <c r="G846" s="3" t="inlineStr">
        <is>
          <t>how gst late fee and interest is calculated</t>
        </is>
      </c>
      <c r="H846" s="3" t="inlineStr">
        <is>
          <t>gstr 3b late fee formula, 18 percent interest on delayed gst payment, nil return late fee rs 20</t>
        </is>
      </c>
      <c r="I846" s="3" t="inlineStr">
        <is>
          <t>GST Calculator</t>
        </is>
      </c>
      <c r="J846" s="3" t="inlineStr">
        <is>
          <t>/finance/gst-calculator</t>
        </is>
      </c>
      <c r="K846" s="3" t="inlineStr">
        <is>
          <t>Formula: Late Fee = Days * Rs 50/day (Rs 20 for Nil returns) capped statutorily. Delayed tax payments incur 18% per annum simple interest computed daily.</t>
        </is>
      </c>
      <c r="L846" s="2" t="inlineStr">
        <is>
          <t>YES</t>
        </is>
      </c>
      <c r="M846" s="2" t="inlineStr">
        <is>
          <t>HIGH</t>
        </is>
      </c>
      <c r="N846" s="2" t="inlineStr">
        <is>
          <t>READY</t>
        </is>
      </c>
      <c r="O846" s="3" t="inlineStr"/>
      <c r="P846" s="3" t="inlineStr"/>
      <c r="Q846" s="3" t="inlineStr"/>
      <c r="R846" s="3" t="inlineStr"/>
    </row>
    <row r="847" ht="20" customHeight="1">
      <c r="A847" s="4" t="inlineStr">
        <is>
          <t>ST846</t>
        </is>
      </c>
      <c r="B847" s="5" t="inlineStr">
        <is>
          <t>How Reverse Charge Mechanism (RCM) Works in GST for Businesses</t>
        </is>
      </c>
      <c r="C847" s="4" t="inlineStr">
        <is>
          <t>Finance</t>
        </is>
      </c>
      <c r="D847" s="5" t="inlineStr">
        <is>
          <t>GST</t>
        </is>
      </c>
      <c r="E847" s="4" t="inlineStr">
        <is>
          <t>Explanation</t>
        </is>
      </c>
      <c r="F847" s="4" t="inlineStr">
        <is>
          <t>Educational</t>
        </is>
      </c>
      <c r="G847" s="5" t="inlineStr">
        <is>
          <t>how reverse charge mechanism works in gst</t>
        </is>
      </c>
      <c r="H847" s="5" t="inlineStr">
        <is>
          <t>rcm in gst explained, paying gst on behalf of unregistered supplier, claiming itc on rcm</t>
        </is>
      </c>
      <c r="I847" s="5" t="inlineStr">
        <is>
          <t>GST Calculator</t>
        </is>
      </c>
      <c r="J847" s="5" t="inlineStr">
        <is>
          <t>/finance/gst-calculator</t>
        </is>
      </c>
      <c r="K847" s="5" t="inlineStr">
        <is>
          <t>Explain RCM: the buyer or recipient pays GST directly to the government instead of the supplier (applicable to advocate fees, goods transport agencies, imports).</t>
        </is>
      </c>
      <c r="L847" s="4" t="inlineStr">
        <is>
          <t>YES</t>
        </is>
      </c>
      <c r="M847" s="4" t="inlineStr">
        <is>
          <t>HIGH</t>
        </is>
      </c>
      <c r="N847" s="4" t="inlineStr">
        <is>
          <t>READY</t>
        </is>
      </c>
      <c r="O847" s="5" t="inlineStr"/>
      <c r="P847" s="5" t="inlineStr"/>
      <c r="Q847" s="5" t="inlineStr"/>
      <c r="R847" s="5" t="inlineStr"/>
    </row>
    <row r="848" ht="20" customHeight="1">
      <c r="A848" s="2" t="inlineStr">
        <is>
          <t>ST847</t>
        </is>
      </c>
      <c r="B848" s="3" t="inlineStr">
        <is>
          <t>E-Way Bill Generation Rules: When Is an E-Way Bill Mandatory for Goods Movement?</t>
        </is>
      </c>
      <c r="C848" s="2" t="inlineStr">
        <is>
          <t>Finance</t>
        </is>
      </c>
      <c r="D848" s="3" t="inlineStr">
        <is>
          <t>GST</t>
        </is>
      </c>
      <c r="E848" s="2" t="inlineStr">
        <is>
          <t>Guide</t>
        </is>
      </c>
      <c r="F848" s="2" t="inlineStr">
        <is>
          <t>Reference</t>
        </is>
      </c>
      <c r="G848" s="3" t="inlineStr">
        <is>
          <t>e way bill rules and threshold</t>
        </is>
      </c>
      <c r="H848" s="3" t="inlineStr">
        <is>
          <t>when is e way bill required, 50000 consignment value e way bill, inter state e way bill rules</t>
        </is>
      </c>
      <c r="I848" s="3" t="inlineStr">
        <is>
          <t>GST Calculator</t>
        </is>
      </c>
      <c r="J848" s="3" t="inlineStr">
        <is>
          <t>/finance/gst-calculator</t>
        </is>
      </c>
      <c r="K848" s="3" t="inlineStr">
        <is>
          <t>Detail the Rs 50,000 consignment value threshold, Part A (invoice details) and Part B (vehicle details), and validity periods based on transit distance.</t>
        </is>
      </c>
      <c r="L848" s="2" t="inlineStr">
        <is>
          <t>YES</t>
        </is>
      </c>
      <c r="M848" s="2" t="inlineStr">
        <is>
          <t>MEDIUM</t>
        </is>
      </c>
      <c r="N848" s="2" t="inlineStr">
        <is>
          <t>READY</t>
        </is>
      </c>
      <c r="O848" s="3" t="inlineStr"/>
      <c r="P848" s="3" t="inlineStr"/>
      <c r="Q848" s="3" t="inlineStr"/>
      <c r="R848" s="3" t="inlineStr"/>
    </row>
    <row r="849" ht="20" customHeight="1">
      <c r="A849" s="4" t="inlineStr">
        <is>
          <t>ST848</t>
        </is>
      </c>
      <c r="B849" s="5" t="inlineStr">
        <is>
          <t>How to Make a GST-Compliant Tax Invoice: Mandatory Fields and HSN/SAC Codes</t>
        </is>
      </c>
      <c r="C849" s="4" t="inlineStr">
        <is>
          <t>Finance</t>
        </is>
      </c>
      <c r="D849" s="5" t="inlineStr">
        <is>
          <t>GST</t>
        </is>
      </c>
      <c r="E849" s="4" t="inlineStr">
        <is>
          <t>Guide</t>
        </is>
      </c>
      <c r="F849" s="4" t="inlineStr">
        <is>
          <t>How-To</t>
        </is>
      </c>
      <c r="G849" s="5" t="inlineStr">
        <is>
          <t>how to create gst compliant invoice</t>
        </is>
      </c>
      <c r="H849" s="5" t="inlineStr">
        <is>
          <t>mandatory fields on gst invoice, hsn sac code requirements, serial number rules gst</t>
        </is>
      </c>
      <c r="I849" s="5" t="inlineStr">
        <is>
          <t>GST Calculator</t>
        </is>
      </c>
      <c r="J849" s="5" t="inlineStr">
        <is>
          <t>/finance/gst-calculator</t>
        </is>
      </c>
      <c r="K849" s="5" t="inlineStr">
        <is>
          <t>Checklist of 16 mandatory fields: supplier GSTIN, consecutive serial number, recipient state code, HSN code, tax bifurcation, and digital signatures.</t>
        </is>
      </c>
      <c r="L849" s="4" t="inlineStr">
        <is>
          <t>YES</t>
        </is>
      </c>
      <c r="M849" s="4" t="inlineStr">
        <is>
          <t>HIGH</t>
        </is>
      </c>
      <c r="N849" s="4" t="inlineStr">
        <is>
          <t>READY</t>
        </is>
      </c>
      <c r="O849" s="5" t="inlineStr"/>
      <c r="P849" s="5" t="inlineStr"/>
      <c r="Q849" s="5" t="inlineStr"/>
      <c r="R849" s="5" t="inlineStr"/>
    </row>
    <row r="850" ht="20" customHeight="1">
      <c r="A850" s="2" t="inlineStr">
        <is>
          <t>ST849</t>
        </is>
      </c>
      <c r="B850" s="3" t="inlineStr">
        <is>
          <t>GST on Bank Charges, Loans, and Credit Card Annual Fees</t>
        </is>
      </c>
      <c r="C850" s="2" t="inlineStr">
        <is>
          <t>Finance</t>
        </is>
      </c>
      <c r="D850" s="3" t="inlineStr">
        <is>
          <t>GST</t>
        </is>
      </c>
      <c r="E850" s="2" t="inlineStr">
        <is>
          <t>Explanation</t>
        </is>
      </c>
      <c r="F850" s="2" t="inlineStr">
        <is>
          <t>Informational</t>
        </is>
      </c>
      <c r="G850" s="3" t="inlineStr">
        <is>
          <t>gst on bank charges and emi</t>
        </is>
      </c>
      <c r="H850" s="3" t="inlineStr">
        <is>
          <t>is there gst on loan interest, 18 percent gst on banking services, gst on processing fees</t>
        </is>
      </c>
      <c r="I850" s="3" t="inlineStr">
        <is>
          <t>GST Calculator</t>
        </is>
      </c>
      <c r="J850" s="3" t="inlineStr">
        <is>
          <t>/finance/gst-calculator</t>
        </is>
      </c>
      <c r="K850" s="3" t="inlineStr">
        <is>
          <t>Clarify the distinction: pure loan interest is 100% exempt from GST, but bank processing fees, document charges, penal charges, and locker rents attract 18% GST.</t>
        </is>
      </c>
      <c r="L850" s="2" t="inlineStr">
        <is>
          <t>YES</t>
        </is>
      </c>
      <c r="M850" s="2" t="inlineStr">
        <is>
          <t>HIGH</t>
        </is>
      </c>
      <c r="N850" s="2" t="inlineStr">
        <is>
          <t>READY</t>
        </is>
      </c>
      <c r="O850" s="3" t="inlineStr"/>
      <c r="P850" s="3" t="inlineStr"/>
      <c r="Q850" s="3" t="inlineStr"/>
      <c r="R850" s="3" t="inlineStr"/>
    </row>
    <row r="851" ht="20" customHeight="1">
      <c r="A851" s="4" t="inlineStr">
        <is>
          <t>ST850</t>
        </is>
      </c>
      <c r="B851" s="5" t="inlineStr">
        <is>
          <t>Difference Between HSN Code and SAC Code in Indian GST System</t>
        </is>
      </c>
      <c r="C851" s="4" t="inlineStr">
        <is>
          <t>Finance</t>
        </is>
      </c>
      <c r="D851" s="5" t="inlineStr">
        <is>
          <t>GST</t>
        </is>
      </c>
      <c r="E851" s="4" t="inlineStr">
        <is>
          <t>Comparison</t>
        </is>
      </c>
      <c r="F851" s="4" t="inlineStr">
        <is>
          <t>Educational</t>
        </is>
      </c>
      <c r="G851" s="5" t="inlineStr">
        <is>
          <t>difference between hsn and sac code</t>
        </is>
      </c>
      <c r="H851" s="5" t="inlineStr">
        <is>
          <t>hsn for goods sac for services, harmonized system of nomenclature, services accounting code</t>
        </is>
      </c>
      <c r="I851" s="5" t="inlineStr">
        <is>
          <t>GST Calculator</t>
        </is>
      </c>
      <c r="J851" s="5" t="inlineStr">
        <is>
          <t>/finance/gst-calculator</t>
        </is>
      </c>
      <c r="K851" s="5" t="inlineStr">
        <is>
          <t>Clarify terminology: HSN (Harmonized System of Nomenclature) for physical goods vs SAC (Services Accounting Code) for services, explaining 4, 6, and 8-digit rules.</t>
        </is>
      </c>
      <c r="L851" s="4" t="inlineStr">
        <is>
          <t>YES</t>
        </is>
      </c>
      <c r="M851" s="4" t="inlineStr">
        <is>
          <t>MEDIUM</t>
        </is>
      </c>
      <c r="N851" s="4" t="inlineStr">
        <is>
          <t>READY</t>
        </is>
      </c>
      <c r="O851" s="5" t="inlineStr"/>
      <c r="P851" s="5" t="inlineStr"/>
      <c r="Q851" s="5" t="inlineStr"/>
      <c r="R851" s="5" t="inlineStr"/>
    </row>
    <row r="852" ht="20" customHeight="1">
      <c r="A852" s="2" t="inlineStr">
        <is>
          <t>ST851</t>
        </is>
      </c>
      <c r="B852" s="3" t="inlineStr">
        <is>
          <t>GST on Online Gaming, Casinos, and Horse Racing: The 28% Face Value Tax Explained</t>
        </is>
      </c>
      <c r="C852" s="2" t="inlineStr">
        <is>
          <t>Finance</t>
        </is>
      </c>
      <c r="D852" s="3" t="inlineStr">
        <is>
          <t>GST</t>
        </is>
      </c>
      <c r="E852" s="2" t="inlineStr">
        <is>
          <t>Explanation</t>
        </is>
      </c>
      <c r="F852" s="2" t="inlineStr">
        <is>
          <t>Reference</t>
        </is>
      </c>
      <c r="G852" s="3" t="inlineStr">
        <is>
          <t>28 percent gst on online gaming</t>
        </is>
      </c>
      <c r="H852" s="3" t="inlineStr">
        <is>
          <t>gst on dream11 entry fee, full face value gaming tax, online gaming tax impact india</t>
        </is>
      </c>
      <c r="I852" s="3" t="inlineStr">
        <is>
          <t>GST Calculator</t>
        </is>
      </c>
      <c r="J852" s="3" t="inlineStr">
        <is>
          <t>/finance/gst-calculator</t>
        </is>
      </c>
      <c r="K852" s="3" t="inlineStr">
        <is>
          <t>Explain the regulatory reform: charging 28% GST upfront on the full entry contest amount rather than on platform platform commission/GGR.</t>
        </is>
      </c>
      <c r="L852" s="2" t="inlineStr">
        <is>
          <t>YES</t>
        </is>
      </c>
      <c r="M852" s="2" t="inlineStr">
        <is>
          <t>HIGH</t>
        </is>
      </c>
      <c r="N852" s="2" t="inlineStr">
        <is>
          <t>READY</t>
        </is>
      </c>
      <c r="O852" s="3" t="inlineStr"/>
      <c r="P852" s="3" t="inlineStr"/>
      <c r="Q852" s="3" t="inlineStr"/>
      <c r="R852" s="3" t="inlineStr"/>
    </row>
    <row r="853" ht="20" customHeight="1">
      <c r="A853" s="4" t="inlineStr">
        <is>
          <t>ST852</t>
        </is>
      </c>
      <c r="B853" s="5" t="inlineStr">
        <is>
          <t>How to File a Nil GSTR-3B Return via SMS in 2 Minutes</t>
        </is>
      </c>
      <c r="C853" s="4" t="inlineStr">
        <is>
          <t>Finance</t>
        </is>
      </c>
      <c r="D853" s="5" t="inlineStr">
        <is>
          <t>GST</t>
        </is>
      </c>
      <c r="E853" s="4" t="inlineStr">
        <is>
          <t>How-To</t>
        </is>
      </c>
      <c r="F853" s="4" t="inlineStr">
        <is>
          <t>How-To</t>
        </is>
      </c>
      <c r="G853" s="5" t="inlineStr">
        <is>
          <t>how to file nil gstr 3b by sms</t>
        </is>
      </c>
      <c r="H853" s="5" t="inlineStr">
        <is>
          <t>filing nil gst return sms format, zero turnover gst return, fast nil return filing</t>
        </is>
      </c>
      <c r="I853" s="5" t="inlineStr">
        <is>
          <t>GST Calculator</t>
        </is>
      </c>
      <c r="J853" s="5" t="inlineStr">
        <is>
          <t>/finance/gst-calculator</t>
        </is>
      </c>
      <c r="K853" s="5" t="inlineStr">
        <is>
          <t>Provide exact SMS syntax: 'NIL 3B &lt;GSTIN&gt; &lt;TaxPeriod&gt;' to 14409, followed by verification code confirmation, preventing late fees for zero-revenue months.</t>
        </is>
      </c>
      <c r="L853" s="4" t="inlineStr">
        <is>
          <t>YES</t>
        </is>
      </c>
      <c r="M853" s="4" t="inlineStr">
        <is>
          <t>HIGH</t>
        </is>
      </c>
      <c r="N853" s="4" t="inlineStr">
        <is>
          <t>READY</t>
        </is>
      </c>
      <c r="O853" s="5" t="inlineStr"/>
      <c r="P853" s="5" t="inlineStr"/>
      <c r="Q853" s="5" t="inlineStr"/>
      <c r="R853" s="5" t="inlineStr"/>
    </row>
    <row r="854" ht="20" customHeight="1">
      <c r="A854" s="2" t="inlineStr">
        <is>
          <t>ST853</t>
        </is>
      </c>
      <c r="B854" s="3" t="inlineStr">
        <is>
          <t>Why Pure Petrol and Diesel Are Outside GST: Central Excise and State VAT Reality</t>
        </is>
      </c>
      <c r="C854" s="2" t="inlineStr">
        <is>
          <t>Finance</t>
        </is>
      </c>
      <c r="D854" s="3" t="inlineStr">
        <is>
          <t>GST</t>
        </is>
      </c>
      <c r="E854" s="2" t="inlineStr">
        <is>
          <t>Explanation</t>
        </is>
      </c>
      <c r="F854" s="2" t="inlineStr">
        <is>
          <t>Informational</t>
        </is>
      </c>
      <c r="G854" s="3" t="inlineStr">
        <is>
          <t>why petrol is not under gst</t>
        </is>
      </c>
      <c r="H854" s="3" t="inlineStr">
        <is>
          <t>petrol diesel outside gst, central excise duty on fuel, why fuel price varies by state</t>
        </is>
      </c>
      <c r="I854" s="3" t="inlineStr">
        <is>
          <t>GST Calculator</t>
        </is>
      </c>
      <c r="J854" s="3" t="inlineStr">
        <is>
          <t>/finance/gst-calculator</t>
        </is>
      </c>
      <c r="K854" s="3" t="inlineStr">
        <is>
          <t>Explain federal revenue dynamics: why state governments and the centre retain independent pricing control via excise and VAT rather than merging fuel into the 28% GST slab.</t>
        </is>
      </c>
      <c r="L854" s="2" t="inlineStr">
        <is>
          <t>YES</t>
        </is>
      </c>
      <c r="M854" s="2" t="inlineStr">
        <is>
          <t>MEDIUM</t>
        </is>
      </c>
      <c r="N854" s="2" t="inlineStr">
        <is>
          <t>READY</t>
        </is>
      </c>
      <c r="O854" s="3" t="inlineStr"/>
      <c r="P854" s="3" t="inlineStr"/>
      <c r="Q854" s="3" t="inlineStr"/>
      <c r="R854" s="3" t="inlineStr"/>
    </row>
    <row r="855" ht="20" customHeight="1">
      <c r="A855" s="4" t="inlineStr">
        <is>
          <t>ST854</t>
        </is>
      </c>
      <c r="B855" s="5" t="inlineStr">
        <is>
          <t>How to Correct Errors in GSTR-1 or GSTR-3B Through Amendment Tables</t>
        </is>
      </c>
      <c r="C855" s="4" t="inlineStr">
        <is>
          <t>Finance</t>
        </is>
      </c>
      <c r="D855" s="5" t="inlineStr">
        <is>
          <t>GST</t>
        </is>
      </c>
      <c r="E855" s="4" t="inlineStr">
        <is>
          <t>How-To</t>
        </is>
      </c>
      <c r="F855" s="4" t="inlineStr">
        <is>
          <t>How-To</t>
        </is>
      </c>
      <c r="G855" s="5" t="inlineStr">
        <is>
          <t>how to rectify invoice mistake in gst return</t>
        </is>
      </c>
      <c r="H855" s="5" t="inlineStr">
        <is>
          <t>amending gstr 1 invoice table 9, correcting gst filing error, adjusting tax payment in next month</t>
        </is>
      </c>
      <c r="I855" s="5" t="inlineStr">
        <is>
          <t>GST Calculator</t>
        </is>
      </c>
      <c r="J855" s="5" t="inlineStr">
        <is>
          <t>/finance/gst-calculator</t>
        </is>
      </c>
      <c r="K855" s="5" t="inlineStr">
        <is>
          <t>Guide businesses on using Table 9 amendments to rectify wrong GSTINs, mistyped invoice amounts, or incorrect tax slabs in subsequent filing cycles.</t>
        </is>
      </c>
      <c r="L855" s="4" t="inlineStr">
        <is>
          <t>YES</t>
        </is>
      </c>
      <c r="M855" s="4" t="inlineStr">
        <is>
          <t>MEDIUM</t>
        </is>
      </c>
      <c r="N855" s="4" t="inlineStr">
        <is>
          <t>READY</t>
        </is>
      </c>
      <c r="O855" s="5" t="inlineStr"/>
      <c r="P855" s="5" t="inlineStr"/>
      <c r="Q855" s="5" t="inlineStr"/>
      <c r="R855" s="5" t="inlineStr"/>
    </row>
    <row r="856" ht="20" customHeight="1">
      <c r="A856" s="2" t="inlineStr">
        <is>
          <t>ST855</t>
        </is>
      </c>
      <c r="B856" s="3" t="inlineStr">
        <is>
          <t>Summary Guide: Essential GST Formulas, Tax Slabs, and Invoice Math</t>
        </is>
      </c>
      <c r="C856" s="2" t="inlineStr">
        <is>
          <t>Finance</t>
        </is>
      </c>
      <c r="D856" s="3" t="inlineStr">
        <is>
          <t>GST</t>
        </is>
      </c>
      <c r="E856" s="2" t="inlineStr">
        <is>
          <t>Formula Guide</t>
        </is>
      </c>
      <c r="F856" s="2" t="inlineStr">
        <is>
          <t>Reference</t>
        </is>
      </c>
      <c r="G856" s="3" t="inlineStr">
        <is>
          <t>gst formulas summary cheat sheet</t>
        </is>
      </c>
      <c r="H856" s="3" t="inlineStr">
        <is>
          <t>all gst calculation formulas, inclusive exclusive reverse tax guide, gst reference sheet</t>
        </is>
      </c>
      <c r="I856" s="3" t="inlineStr">
        <is>
          <t>GST Calculator</t>
        </is>
      </c>
      <c r="J856" s="3" t="inlineStr">
        <is>
          <t>/finance/gst-calculator</t>
        </is>
      </c>
      <c r="K856" s="3" t="inlineStr">
        <is>
          <t>Consolidated reference sheet covering Exclusive GST formula, Inclusive GST formula, Reverse Extraction math, CGST/SGST bifurcation, and Late Fee rules.</t>
        </is>
      </c>
      <c r="L856" s="2" t="inlineStr">
        <is>
          <t>YES</t>
        </is>
      </c>
      <c r="M856" s="2" t="inlineStr">
        <is>
          <t>HIGH</t>
        </is>
      </c>
      <c r="N856" s="2" t="inlineStr">
        <is>
          <t>READY</t>
        </is>
      </c>
      <c r="O856" s="3" t="inlineStr"/>
      <c r="P856" s="3" t="inlineStr"/>
      <c r="Q856" s="3" t="inlineStr"/>
      <c r="R856" s="3" t="inlineStr"/>
    </row>
    <row r="857" ht="20" customHeight="1">
      <c r="A857" s="4" t="inlineStr">
        <is>
          <t>ST856</t>
        </is>
      </c>
      <c r="B857" s="5" t="inlineStr">
        <is>
          <t>How Fixed Deposit (FD) Interest Is Calculated: The Quarterly Compounding Formula</t>
        </is>
      </c>
      <c r="C857" s="4" t="inlineStr">
        <is>
          <t>Finance</t>
        </is>
      </c>
      <c r="D857" s="5" t="inlineStr">
        <is>
          <t>FD</t>
        </is>
      </c>
      <c r="E857" s="4" t="inlineStr">
        <is>
          <t>Formula Guide</t>
        </is>
      </c>
      <c r="F857" s="4" t="inlineStr">
        <is>
          <t>How-To</t>
        </is>
      </c>
      <c r="G857" s="5" t="inlineStr">
        <is>
          <t>how fd interest is calculated</t>
        </is>
      </c>
      <c r="H857" s="5" t="inlineStr">
        <is>
          <t>fixed deposit calculation formula, quarterly compounding formula fd, bank fd maturity amount formula</t>
        </is>
      </c>
      <c r="I857" s="5" t="inlineStr">
        <is>
          <t>FD Calculator</t>
        </is>
      </c>
      <c r="J857" s="5" t="inlineStr">
        <is>
          <t>/finance/fd-calculator</t>
        </is>
      </c>
      <c r="K857" s="5" t="inlineStr">
        <is>
          <t>Derive the standard banking formula: A = P * (1 + r/4)^(4*t). Explain why Indian banks compound FD interest quarterly rather than annually or monthly.</t>
        </is>
      </c>
      <c r="L857" s="4" t="inlineStr">
        <is>
          <t>YES</t>
        </is>
      </c>
      <c r="M857" s="4" t="inlineStr">
        <is>
          <t>HIGH</t>
        </is>
      </c>
      <c r="N857" s="4" t="inlineStr">
        <is>
          <t>READY</t>
        </is>
      </c>
      <c r="O857" s="5" t="inlineStr"/>
      <c r="P857" s="5" t="inlineStr"/>
      <c r="Q857" s="5" t="inlineStr"/>
      <c r="R857" s="5" t="inlineStr"/>
    </row>
    <row r="858" ht="20" customHeight="1">
      <c r="A858" s="2" t="inlineStr">
        <is>
          <t>ST857</t>
        </is>
      </c>
      <c r="B858" s="3" t="inlineStr">
        <is>
          <t>Cumulative vs Non-Cumulative Fixed Deposit: Which Payout Option Should You Choose?</t>
        </is>
      </c>
      <c r="C858" s="2" t="inlineStr">
        <is>
          <t>Finance</t>
        </is>
      </c>
      <c r="D858" s="3" t="inlineStr">
        <is>
          <t>FD</t>
        </is>
      </c>
      <c r="E858" s="2" t="inlineStr">
        <is>
          <t>Comparison</t>
        </is>
      </c>
      <c r="F858" s="2" t="inlineStr">
        <is>
          <t>Comparison</t>
        </is>
      </c>
      <c r="G858" s="3" t="inlineStr">
        <is>
          <t>cumulative vs non cumulative fd</t>
        </is>
      </c>
      <c r="H858" s="3" t="inlineStr">
        <is>
          <t>difference between cumulative and quarterly payout fd, monthly income fd vs reinvestment, compounding benefit fd</t>
        </is>
      </c>
      <c r="I858" s="3" t="inlineStr">
        <is>
          <t>FD Calculator</t>
        </is>
      </c>
      <c r="J858" s="3" t="inlineStr">
        <is>
          <t>/finance/fd-calculator</t>
        </is>
      </c>
      <c r="K858" s="3" t="inlineStr">
        <is>
          <t>Compare Cumulative FDs (interest reinvested to maximize compounding) with Non-Cumulative FDs (monthly or quarterly interest payouts for retirees).</t>
        </is>
      </c>
      <c r="L858" s="2" t="inlineStr">
        <is>
          <t>YES</t>
        </is>
      </c>
      <c r="M858" s="2" t="inlineStr">
        <is>
          <t>HIGH</t>
        </is>
      </c>
      <c r="N858" s="2" t="inlineStr">
        <is>
          <t>READY</t>
        </is>
      </c>
      <c r="O858" s="3" t="inlineStr"/>
      <c r="P858" s="3" t="inlineStr"/>
      <c r="Q858" s="3" t="inlineStr"/>
      <c r="R858" s="3" t="inlineStr"/>
    </row>
    <row r="859" ht="20" customHeight="1">
      <c r="A859" s="4" t="inlineStr">
        <is>
          <t>ST858</t>
        </is>
      </c>
      <c r="B859" s="5" t="inlineStr">
        <is>
          <t>TDS on Bank Fixed Deposit Interest: Section 194A Limits and Form 15G / 15H Guide</t>
        </is>
      </c>
      <c r="C859" s="4" t="inlineStr">
        <is>
          <t>Finance</t>
        </is>
      </c>
      <c r="D859" s="5" t="inlineStr">
        <is>
          <t>FD</t>
        </is>
      </c>
      <c r="E859" s="4" t="inlineStr">
        <is>
          <t>Guide</t>
        </is>
      </c>
      <c r="F859" s="4" t="inlineStr">
        <is>
          <t>Reference</t>
        </is>
      </c>
      <c r="G859" s="5" t="inlineStr">
        <is>
          <t>tds on fd interest section 194a</t>
        </is>
      </c>
      <c r="H859" s="5" t="inlineStr">
        <is>
          <t>fixed deposit tax deduction limit 40000, senior citizen 50000 fd tax exemption, form 15g for bank fd</t>
        </is>
      </c>
      <c r="I859" s="5" t="inlineStr">
        <is>
          <t>FD Calculator</t>
        </is>
      </c>
      <c r="J859" s="5" t="inlineStr">
        <is>
          <t>/finance/fd-calculator</t>
        </is>
      </c>
      <c r="K859" s="5" t="inlineStr">
        <is>
          <t>Detail the statutory TDS thresholds: Rs 40,000 for regular citizens and Rs 50,000 for senior citizens (Section 80TTB), and submitting Form 15G/H to prevent 10% TDS.</t>
        </is>
      </c>
      <c r="L859" s="4" t="inlineStr">
        <is>
          <t>YES</t>
        </is>
      </c>
      <c r="M859" s="4" t="inlineStr">
        <is>
          <t>HIGH</t>
        </is>
      </c>
      <c r="N859" s="4" t="inlineStr">
        <is>
          <t>READY</t>
        </is>
      </c>
      <c r="O859" s="5" t="inlineStr"/>
      <c r="P859" s="5" t="inlineStr"/>
      <c r="Q859" s="5" t="inlineStr"/>
      <c r="R859" s="5" t="inlineStr"/>
    </row>
    <row r="860" ht="20" customHeight="1">
      <c r="A860" s="2" t="inlineStr">
        <is>
          <t>ST859</t>
        </is>
      </c>
      <c r="B860" s="3" t="inlineStr">
        <is>
          <t>Senior Citizen Fixed Deposit Schemes: Additional 0.50% to 0.75% Interest Explained</t>
        </is>
      </c>
      <c r="C860" s="2" t="inlineStr">
        <is>
          <t>Finance</t>
        </is>
      </c>
      <c r="D860" s="3" t="inlineStr">
        <is>
          <t>FD</t>
        </is>
      </c>
      <c r="E860" s="2" t="inlineStr">
        <is>
          <t>Guide</t>
        </is>
      </c>
      <c r="F860" s="2" t="inlineStr">
        <is>
          <t>Reference</t>
        </is>
      </c>
      <c r="G860" s="3" t="inlineStr">
        <is>
          <t>senior citizen fd interest rate extra</t>
        </is>
      </c>
      <c r="H860" s="3" t="inlineStr">
        <is>
          <t>special senior citizen fd rates, additional interest for elderly, sbi wecare fd scheme</t>
        </is>
      </c>
      <c r="I860" s="3" t="inlineStr">
        <is>
          <t>FD Calculator</t>
        </is>
      </c>
      <c r="J860" s="3" t="inlineStr">
        <is>
          <t>/finance/fd-calculator</t>
        </is>
      </c>
      <c r="K860" s="3" t="inlineStr">
        <is>
          <t>Explain age 60+ preferential interest rates, special tenures, and how the higher yield compounds into significantly higher maturity proceeds.</t>
        </is>
      </c>
      <c r="L860" s="2" t="inlineStr">
        <is>
          <t>YES</t>
        </is>
      </c>
      <c r="M860" s="2" t="inlineStr">
        <is>
          <t>HIGH</t>
        </is>
      </c>
      <c r="N860" s="2" t="inlineStr">
        <is>
          <t>READY</t>
        </is>
      </c>
      <c r="O860" s="3" t="inlineStr"/>
      <c r="P860" s="3" t="inlineStr"/>
      <c r="Q860" s="3" t="inlineStr"/>
      <c r="R860" s="3" t="inlineStr"/>
    </row>
    <row r="861" ht="20" customHeight="1">
      <c r="A861" s="4" t="inlineStr">
        <is>
          <t>ST860</t>
        </is>
      </c>
      <c r="B861" s="5" t="inlineStr">
        <is>
          <t>Tax-Saving Fixed Deposits (5-Year Lock-In): Section 80C Benefits and Taxability of Interest</t>
        </is>
      </c>
      <c r="C861" s="4" t="inlineStr">
        <is>
          <t>Finance</t>
        </is>
      </c>
      <c r="D861" s="5" t="inlineStr">
        <is>
          <t>FD</t>
        </is>
      </c>
      <c r="E861" s="4" t="inlineStr">
        <is>
          <t>Guide</t>
        </is>
      </c>
      <c r="F861" s="4" t="inlineStr">
        <is>
          <t>Reference</t>
        </is>
      </c>
      <c r="G861" s="5" t="inlineStr">
        <is>
          <t>5 year tax saving fd rules</t>
        </is>
      </c>
      <c r="H861" s="5" t="inlineStr">
        <is>
          <t>section 80c tax saving fixed deposit, lock in period tax saver fd, is tax saving fd interest taxable</t>
        </is>
      </c>
      <c r="I861" s="5" t="inlineStr">
        <is>
          <t>FD Calculator</t>
        </is>
      </c>
      <c r="J861" s="5" t="inlineStr">
        <is>
          <t>/finance/fd-calculator</t>
        </is>
      </c>
      <c r="K861" s="5" t="inlineStr">
        <is>
          <t>Explain the 5-year lock-in with zero premature withdrawal or loan facility, 80C deduction up to Rs 1.5 Lakh, and the fact that annual interest earned remains 100% taxable.</t>
        </is>
      </c>
      <c r="L861" s="4" t="inlineStr">
        <is>
          <t>YES</t>
        </is>
      </c>
      <c r="M861" s="4" t="inlineStr">
        <is>
          <t>HIGH</t>
        </is>
      </c>
      <c r="N861" s="4" t="inlineStr">
        <is>
          <t>READY</t>
        </is>
      </c>
      <c r="O861" s="5" t="inlineStr"/>
      <c r="P861" s="5" t="inlineStr"/>
      <c r="Q861" s="5" t="inlineStr"/>
      <c r="R861" s="5" t="inlineStr"/>
    </row>
    <row r="862" ht="20" customHeight="1">
      <c r="A862" s="2" t="inlineStr">
        <is>
          <t>ST861</t>
        </is>
      </c>
      <c r="B862" s="3" t="inlineStr">
        <is>
          <t>What Is the Penalty for Premature Withdrawal of a Fixed Deposit?</t>
        </is>
      </c>
      <c r="C862" s="2" t="inlineStr">
        <is>
          <t>Finance</t>
        </is>
      </c>
      <c r="D862" s="3" t="inlineStr">
        <is>
          <t>FD</t>
        </is>
      </c>
      <c r="E862" s="2" t="inlineStr">
        <is>
          <t>Explanation</t>
        </is>
      </c>
      <c r="F862" s="2" t="inlineStr">
        <is>
          <t>Educational</t>
        </is>
      </c>
      <c r="G862" s="3" t="inlineStr">
        <is>
          <t>premature withdrawal penalty fixed deposit</t>
        </is>
      </c>
      <c r="H862" s="3" t="inlineStr">
        <is>
          <t>breaking fd before maturity charges, 1 percent penalty on fd interest, bank premature closure rules</t>
        </is>
      </c>
      <c r="I862" s="3" t="inlineStr">
        <is>
          <t>FD Calculator</t>
        </is>
      </c>
      <c r="J862" s="3" t="inlineStr">
        <is>
          <t>/finance/fd-calculator</t>
        </is>
      </c>
      <c r="K862" s="3" t="inlineStr">
        <is>
          <t>Explain bank penalty formulas: interest is paid at the rate applicable for the period the deposit actually remained with the bank, minus a 0.50% to 1.00% premature penalty.</t>
        </is>
      </c>
      <c r="L862" s="2" t="inlineStr">
        <is>
          <t>YES</t>
        </is>
      </c>
      <c r="M862" s="2" t="inlineStr">
        <is>
          <t>HIGH</t>
        </is>
      </c>
      <c r="N862" s="2" t="inlineStr">
        <is>
          <t>READY</t>
        </is>
      </c>
      <c r="O862" s="3" t="inlineStr"/>
      <c r="P862" s="3" t="inlineStr"/>
      <c r="Q862" s="3" t="inlineStr"/>
      <c r="R862" s="3" t="inlineStr"/>
    </row>
    <row r="863" ht="20" customHeight="1">
      <c r="A863" s="4" t="inlineStr">
        <is>
          <t>ST862</t>
        </is>
      </c>
      <c r="B863" s="5" t="inlineStr">
        <is>
          <t>FD Laddering Strategy: How to Maximize Liquidity and Beat Interest Rate Cycles</t>
        </is>
      </c>
      <c r="C863" s="4" t="inlineStr">
        <is>
          <t>Finance</t>
        </is>
      </c>
      <c r="D863" s="5" t="inlineStr">
        <is>
          <t>FD</t>
        </is>
      </c>
      <c r="E863" s="4" t="inlineStr">
        <is>
          <t>Planning Guide</t>
        </is>
      </c>
      <c r="F863" s="4" t="inlineStr">
        <is>
          <t>Planning</t>
        </is>
      </c>
      <c r="G863" s="5" t="inlineStr">
        <is>
          <t>fd laddering strategy explained</t>
        </is>
      </c>
      <c r="H863" s="5" t="inlineStr">
        <is>
          <t>how to do fixed deposit laddering, managing liquidity with fd ladder, breaking big fd into small deposits</t>
        </is>
      </c>
      <c r="I863" s="5" t="inlineStr">
        <is>
          <t>FD Calculator</t>
        </is>
      </c>
      <c r="J863" s="5" t="inlineStr">
        <is>
          <t>/finance/fd-calculator</t>
        </is>
      </c>
      <c r="K863" s="5" t="inlineStr">
        <is>
          <t>Teach the laddering blueprint: dividing Rs 5 Lakh into five Rs 1 Lakh deposits maturing in 1, 2, 3, 4, and 5 years to guarantee annual liquidity and capture rising rates.</t>
        </is>
      </c>
      <c r="L863" s="4" t="inlineStr">
        <is>
          <t>YES</t>
        </is>
      </c>
      <c r="M863" s="4" t="inlineStr">
        <is>
          <t>HIGH</t>
        </is>
      </c>
      <c r="N863" s="4" t="inlineStr">
        <is>
          <t>READY</t>
        </is>
      </c>
      <c r="O863" s="5" t="inlineStr"/>
      <c r="P863" s="5" t="inlineStr"/>
      <c r="Q863" s="5" t="inlineStr"/>
      <c r="R863" s="5" t="inlineStr"/>
    </row>
    <row r="864" ht="20" customHeight="1">
      <c r="A864" s="2" t="inlineStr">
        <is>
          <t>ST863</t>
        </is>
      </c>
      <c r="B864" s="3" t="inlineStr">
        <is>
          <t>Loan Against Fixed Deposit (Overdraft): Why It Is Better Than Breaking Your FD</t>
        </is>
      </c>
      <c r="C864" s="2" t="inlineStr">
        <is>
          <t>Finance</t>
        </is>
      </c>
      <c r="D864" s="3" t="inlineStr">
        <is>
          <t>FD</t>
        </is>
      </c>
      <c r="E864" s="2" t="inlineStr">
        <is>
          <t>Comparison</t>
        </is>
      </c>
      <c r="F864" s="2" t="inlineStr">
        <is>
          <t>How-To</t>
        </is>
      </c>
      <c r="G864" s="3" t="inlineStr">
        <is>
          <t>loan against fd vs premature withdrawal</t>
        </is>
      </c>
      <c r="H864" s="3" t="inlineStr">
        <is>
          <t>od against fixed deposit interest rate, borrowing against fd benefits, 1 percent higher interest loan on fd</t>
        </is>
      </c>
      <c r="I864" s="3" t="inlineStr">
        <is>
          <t>FD Calculator</t>
        </is>
      </c>
      <c r="J864" s="3" t="inlineStr">
        <is>
          <t>/finance/fd-calculator</t>
        </is>
      </c>
      <c r="K864" s="3" t="inlineStr">
        <is>
          <t>Demonstrate why borrowing up to 90% of your FD value at 1% above the deposit rate preserves compounding and avoids premature penalty hits during temporary cash crunches.</t>
        </is>
      </c>
      <c r="L864" s="2" t="inlineStr">
        <is>
          <t>YES</t>
        </is>
      </c>
      <c r="M864" s="2" t="inlineStr">
        <is>
          <t>HIGH</t>
        </is>
      </c>
      <c r="N864" s="2" t="inlineStr">
        <is>
          <t>READY</t>
        </is>
      </c>
      <c r="O864" s="3" t="inlineStr"/>
      <c r="P864" s="3" t="inlineStr"/>
      <c r="Q864" s="3" t="inlineStr"/>
      <c r="R864" s="3" t="inlineStr"/>
    </row>
    <row r="865" ht="20" customHeight="1">
      <c r="A865" s="4" t="inlineStr">
        <is>
          <t>ST864</t>
        </is>
      </c>
      <c r="B865" s="5" t="inlineStr">
        <is>
          <t>DICGC Rs 5 Lakh Bank Deposit Insurance: How Safe Is Your Fixed Deposit?</t>
        </is>
      </c>
      <c r="C865" s="4" t="inlineStr">
        <is>
          <t>Finance</t>
        </is>
      </c>
      <c r="D865" s="5" t="inlineStr">
        <is>
          <t>FD</t>
        </is>
      </c>
      <c r="E865" s="4" t="inlineStr">
        <is>
          <t>Explanation</t>
        </is>
      </c>
      <c r="F865" s="4" t="inlineStr">
        <is>
          <t>Reference</t>
        </is>
      </c>
      <c r="G865" s="5" t="inlineStr">
        <is>
          <t>is fixed deposit safe dicgc insurance</t>
        </is>
      </c>
      <c r="H865" s="5" t="inlineStr">
        <is>
          <t>5 lakh bank deposit guarantee rbi, bank failure fd safety, dividing fd across multiple banks</t>
        </is>
      </c>
      <c r="I865" s="5" t="inlineStr">
        <is>
          <t>FD Calculator</t>
        </is>
      </c>
      <c r="J865" s="5" t="inlineStr">
        <is>
          <t>/finance/fd-calculator</t>
        </is>
      </c>
      <c r="K865" s="5" t="inlineStr">
        <is>
          <t>Explain the Deposit Insurance and Credit Guarantee Corporation (DICGC) safety net: guaranteeing up to Rs 5 Lakh (principal + interest) per depositor per bank.</t>
        </is>
      </c>
      <c r="L865" s="4" t="inlineStr">
        <is>
          <t>YES</t>
        </is>
      </c>
      <c r="M865" s="4" t="inlineStr">
        <is>
          <t>HIGH</t>
        </is>
      </c>
      <c r="N865" s="4" t="inlineStr">
        <is>
          <t>READY</t>
        </is>
      </c>
      <c r="O865" s="5" t="inlineStr"/>
      <c r="P865" s="5" t="inlineStr"/>
      <c r="Q865" s="5" t="inlineStr"/>
      <c r="R865" s="5" t="inlineStr"/>
    </row>
    <row r="866" ht="20" customHeight="1">
      <c r="A866" s="2" t="inlineStr">
        <is>
          <t>ST865</t>
        </is>
      </c>
      <c r="B866" s="3" t="inlineStr">
        <is>
          <t>Corporate FDs vs Bank FDs: Higher Returns vs Credit Risk Rating Comparison</t>
        </is>
      </c>
      <c r="C866" s="2" t="inlineStr">
        <is>
          <t>Finance</t>
        </is>
      </c>
      <c r="D866" s="3" t="inlineStr">
        <is>
          <t>FD</t>
        </is>
      </c>
      <c r="E866" s="2" t="inlineStr">
        <is>
          <t>Comparison</t>
        </is>
      </c>
      <c r="F866" s="2" t="inlineStr">
        <is>
          <t>Comparison</t>
        </is>
      </c>
      <c r="G866" s="3" t="inlineStr">
        <is>
          <t>company fd vs bank fd</t>
        </is>
      </c>
      <c r="H866" s="3" t="inlineStr">
        <is>
          <t>corporate fixed deposit interest rate, credit rating aaa for company fd, risk of corporate deposits</t>
        </is>
      </c>
      <c r="I866" s="3" t="inlineStr">
        <is>
          <t>FD Calculator</t>
        </is>
      </c>
      <c r="J866" s="3" t="inlineStr">
        <is>
          <t>/finance/fd-calculator</t>
        </is>
      </c>
      <c r="K866" s="3" t="inlineStr">
        <is>
          <t>Compare higher 8-9.5% yields on Corporate FDs (Bajaj Finance, Shriram) against commercial bank FDs, highlighting lack of DICGC insurance and credit ratings.</t>
        </is>
      </c>
      <c r="L866" s="2" t="inlineStr">
        <is>
          <t>YES</t>
        </is>
      </c>
      <c r="M866" s="2" t="inlineStr">
        <is>
          <t>HIGH</t>
        </is>
      </c>
      <c r="N866" s="2" t="inlineStr">
        <is>
          <t>READY</t>
        </is>
      </c>
      <c r="O866" s="3" t="inlineStr"/>
      <c r="P866" s="3" t="inlineStr"/>
      <c r="Q866" s="3" t="inlineStr"/>
      <c r="R866" s="3" t="inlineStr"/>
    </row>
    <row r="867" ht="20" customHeight="1">
      <c r="A867" s="4" t="inlineStr">
        <is>
          <t>ST866</t>
        </is>
      </c>
      <c r="B867" s="5" t="inlineStr">
        <is>
          <t>Rs 1 Lakh FD for 1 Year: Exact Maturity Value and Interest Earnings</t>
        </is>
      </c>
      <c r="C867" s="4" t="inlineStr">
        <is>
          <t>Finance</t>
        </is>
      </c>
      <c r="D867" s="5" t="inlineStr">
        <is>
          <t>FD</t>
        </is>
      </c>
      <c r="E867" s="4" t="inlineStr">
        <is>
          <t>Example</t>
        </is>
      </c>
      <c r="F867" s="4" t="inlineStr">
        <is>
          <t>Educational</t>
        </is>
      </c>
      <c r="G867" s="5" t="inlineStr">
        <is>
          <t>1 lakh fd for 1 year interest</t>
        </is>
      </c>
      <c r="H867" s="5" t="inlineStr">
        <is>
          <t>fixed deposit 1 lakh maturity, interest on 1 lakh fd, 1 lakh bank deposit calculation</t>
        </is>
      </c>
      <c r="I867" s="5" t="inlineStr">
        <is>
          <t>FD Calculator</t>
        </is>
      </c>
      <c r="J867" s="5" t="inlineStr">
        <is>
          <t>/finance/fd-calculator</t>
        </is>
      </c>
      <c r="K867" s="5" t="inlineStr">
        <is>
          <t>Provide complete step-by-step mathematical calculations for a Fixed Deposit of Rs 1 Lakh over 1 years at 7.0% annual interest with quarterly compounding, calculating exact interest earned, maturity amount, and applicable TDS deductions.</t>
        </is>
      </c>
      <c r="L867" s="4" t="inlineStr">
        <is>
          <t>YES</t>
        </is>
      </c>
      <c r="M867" s="4" t="inlineStr">
        <is>
          <t>HIGH</t>
        </is>
      </c>
      <c r="N867" s="4" t="inlineStr">
        <is>
          <t>READY</t>
        </is>
      </c>
      <c r="O867" s="5" t="inlineStr"/>
      <c r="P867" s="5" t="inlineStr"/>
      <c r="Q867" s="5" t="inlineStr"/>
      <c r="R867" s="5" t="inlineStr"/>
    </row>
    <row r="868" ht="20" customHeight="1">
      <c r="A868" s="2" t="inlineStr">
        <is>
          <t>ST867</t>
        </is>
      </c>
      <c r="B868" s="3" t="inlineStr">
        <is>
          <t>Rs 1 Lakh FD for 3 Years: Compound Interest and Final Maturity Calculation</t>
        </is>
      </c>
      <c r="C868" s="2" t="inlineStr">
        <is>
          <t>Finance</t>
        </is>
      </c>
      <c r="D868" s="3" t="inlineStr">
        <is>
          <t>FD</t>
        </is>
      </c>
      <c r="E868" s="2" t="inlineStr">
        <is>
          <t>Example</t>
        </is>
      </c>
      <c r="F868" s="2" t="inlineStr">
        <is>
          <t>Educational</t>
        </is>
      </c>
      <c r="G868" s="3" t="inlineStr">
        <is>
          <t>1 lakh fd for 3 years interest</t>
        </is>
      </c>
      <c r="H868" s="3" t="inlineStr">
        <is>
          <t>fixed deposit 1 lakh maturity, interest on 1 lakh fd, 1 lakh bank deposit calculation</t>
        </is>
      </c>
      <c r="I868" s="3" t="inlineStr">
        <is>
          <t>FD Calculator</t>
        </is>
      </c>
      <c r="J868" s="3" t="inlineStr">
        <is>
          <t>/finance/fd-calculator</t>
        </is>
      </c>
      <c r="K868" s="3" t="inlineStr">
        <is>
          <t>Provide complete step-by-step mathematical calculations for a Fixed Deposit of Rs 1 Lakh over 3 years at 7.25% annual interest with quarterly compounding, calculating exact interest earned, maturity amount, and applicable TDS deductions.</t>
        </is>
      </c>
      <c r="L868" s="2" t="inlineStr">
        <is>
          <t>YES</t>
        </is>
      </c>
      <c r="M868" s="2" t="inlineStr">
        <is>
          <t>HIGH</t>
        </is>
      </c>
      <c r="N868" s="2" t="inlineStr">
        <is>
          <t>READY</t>
        </is>
      </c>
      <c r="O868" s="3" t="inlineStr"/>
      <c r="P868" s="3" t="inlineStr"/>
      <c r="Q868" s="3" t="inlineStr"/>
      <c r="R868" s="3" t="inlineStr"/>
    </row>
    <row r="869" ht="20" customHeight="1">
      <c r="A869" s="4" t="inlineStr">
        <is>
          <t>ST868</t>
        </is>
      </c>
      <c r="B869" s="5" t="inlineStr">
        <is>
          <t>Rs 1 Lakh FD for 5 Years: Multi-Year Compounding Breakdown</t>
        </is>
      </c>
      <c r="C869" s="4" t="inlineStr">
        <is>
          <t>Finance</t>
        </is>
      </c>
      <c r="D869" s="5" t="inlineStr">
        <is>
          <t>FD</t>
        </is>
      </c>
      <c r="E869" s="4" t="inlineStr">
        <is>
          <t>Example</t>
        </is>
      </c>
      <c r="F869" s="4" t="inlineStr">
        <is>
          <t>Educational</t>
        </is>
      </c>
      <c r="G869" s="5" t="inlineStr">
        <is>
          <t>1 lakh fd for 5 years interest</t>
        </is>
      </c>
      <c r="H869" s="5" t="inlineStr">
        <is>
          <t>fixed deposit 1 lakh maturity, interest on 1 lakh fd, 1 lakh bank deposit calculation</t>
        </is>
      </c>
      <c r="I869" s="5" t="inlineStr">
        <is>
          <t>FD Calculator</t>
        </is>
      </c>
      <c r="J869" s="5" t="inlineStr">
        <is>
          <t>/finance/fd-calculator</t>
        </is>
      </c>
      <c r="K869" s="5" t="inlineStr">
        <is>
          <t>Provide complete step-by-step mathematical calculations for a Fixed Deposit of Rs 1 Lakh over 5 years at 7.5% annual interest with quarterly compounding, calculating exact interest earned, maturity amount, and applicable TDS deductions.</t>
        </is>
      </c>
      <c r="L869" s="4" t="inlineStr">
        <is>
          <t>YES</t>
        </is>
      </c>
      <c r="M869" s="4" t="inlineStr">
        <is>
          <t>HIGH</t>
        </is>
      </c>
      <c r="N869" s="4" t="inlineStr">
        <is>
          <t>READY</t>
        </is>
      </c>
      <c r="O869" s="5" t="inlineStr"/>
      <c r="P869" s="5" t="inlineStr"/>
      <c r="Q869" s="5" t="inlineStr"/>
      <c r="R869" s="5" t="inlineStr"/>
    </row>
    <row r="870" ht="20" customHeight="1">
      <c r="A870" s="2" t="inlineStr">
        <is>
          <t>ST869</t>
        </is>
      </c>
      <c r="B870" s="3" t="inlineStr">
        <is>
          <t>Rs 2 Lakh FD for 2 Years: Maturity Amount and Tax Impact</t>
        </is>
      </c>
      <c r="C870" s="2" t="inlineStr">
        <is>
          <t>Finance</t>
        </is>
      </c>
      <c r="D870" s="3" t="inlineStr">
        <is>
          <t>FD</t>
        </is>
      </c>
      <c r="E870" s="2" t="inlineStr">
        <is>
          <t>Example</t>
        </is>
      </c>
      <c r="F870" s="2" t="inlineStr">
        <is>
          <t>Educational</t>
        </is>
      </c>
      <c r="G870" s="3" t="inlineStr">
        <is>
          <t>2 lakh fd for 2 years interest</t>
        </is>
      </c>
      <c r="H870" s="3" t="inlineStr">
        <is>
          <t>fixed deposit 2 lakh maturity, interest on 2 lakh fd, 2 lakh bank deposit calculation</t>
        </is>
      </c>
      <c r="I870" s="3" t="inlineStr">
        <is>
          <t>FD Calculator</t>
        </is>
      </c>
      <c r="J870" s="3" t="inlineStr">
        <is>
          <t>/finance/fd-calculator</t>
        </is>
      </c>
      <c r="K870" s="3" t="inlineStr">
        <is>
          <t>Provide complete step-by-step mathematical calculations for a Fixed Deposit of Rs 2 Lakh over 2 years at 7.1% annual interest with quarterly compounding, calculating exact interest earned, maturity amount, and applicable TDS deductions.</t>
        </is>
      </c>
      <c r="L870" s="2" t="inlineStr">
        <is>
          <t>YES</t>
        </is>
      </c>
      <c r="M870" s="2" t="inlineStr">
        <is>
          <t>MEDIUM</t>
        </is>
      </c>
      <c r="N870" s="2" t="inlineStr">
        <is>
          <t>READY</t>
        </is>
      </c>
      <c r="O870" s="3" t="inlineStr"/>
      <c r="P870" s="3" t="inlineStr"/>
      <c r="Q870" s="3" t="inlineStr"/>
      <c r="R870" s="3" t="inlineStr"/>
    </row>
    <row r="871" ht="20" customHeight="1">
      <c r="A871" s="4" t="inlineStr">
        <is>
          <t>ST870</t>
        </is>
      </c>
      <c r="B871" s="5" t="inlineStr">
        <is>
          <t>Rs 5 Lakh FD for 1 Year: Quarterly Compounding Interest Calculation</t>
        </is>
      </c>
      <c r="C871" s="4" t="inlineStr">
        <is>
          <t>Finance</t>
        </is>
      </c>
      <c r="D871" s="5" t="inlineStr">
        <is>
          <t>FD</t>
        </is>
      </c>
      <c r="E871" s="4" t="inlineStr">
        <is>
          <t>Example</t>
        </is>
      </c>
      <c r="F871" s="4" t="inlineStr">
        <is>
          <t>Educational</t>
        </is>
      </c>
      <c r="G871" s="5" t="inlineStr">
        <is>
          <t>5 lakh fd for 1 year interest</t>
        </is>
      </c>
      <c r="H871" s="5" t="inlineStr">
        <is>
          <t>fixed deposit 5 lakh maturity, interest on 5 lakh fd, 5 lakh bank deposit calculation</t>
        </is>
      </c>
      <c r="I871" s="5" t="inlineStr">
        <is>
          <t>FD Calculator</t>
        </is>
      </c>
      <c r="J871" s="5" t="inlineStr">
        <is>
          <t>/finance/fd-calculator</t>
        </is>
      </c>
      <c r="K871" s="5" t="inlineStr">
        <is>
          <t>Provide complete step-by-step mathematical calculations for a Fixed Deposit of Rs 5 Lakh over 1 years at 7.0% annual interest with quarterly compounding, calculating exact interest earned, maturity amount, and applicable TDS deductions.</t>
        </is>
      </c>
      <c r="L871" s="4" t="inlineStr">
        <is>
          <t>YES</t>
        </is>
      </c>
      <c r="M871" s="4" t="inlineStr">
        <is>
          <t>HIGH</t>
        </is>
      </c>
      <c r="N871" s="4" t="inlineStr">
        <is>
          <t>READY</t>
        </is>
      </c>
      <c r="O871" s="5" t="inlineStr"/>
      <c r="P871" s="5" t="inlineStr"/>
      <c r="Q871" s="5" t="inlineStr"/>
      <c r="R871" s="5" t="inlineStr"/>
    </row>
    <row r="872" ht="20" customHeight="1">
      <c r="A872" s="2" t="inlineStr">
        <is>
          <t>ST871</t>
        </is>
      </c>
      <c r="B872" s="3" t="inlineStr">
        <is>
          <t>Rs 5 Lakh FD for 3 Years: Complete Maturity Proceeds and Tax Schedule</t>
        </is>
      </c>
      <c r="C872" s="2" t="inlineStr">
        <is>
          <t>Finance</t>
        </is>
      </c>
      <c r="D872" s="3" t="inlineStr">
        <is>
          <t>FD</t>
        </is>
      </c>
      <c r="E872" s="2" t="inlineStr">
        <is>
          <t>Example</t>
        </is>
      </c>
      <c r="F872" s="2" t="inlineStr">
        <is>
          <t>Educational</t>
        </is>
      </c>
      <c r="G872" s="3" t="inlineStr">
        <is>
          <t>5 lakh fd for 3 years interest</t>
        </is>
      </c>
      <c r="H872" s="3" t="inlineStr">
        <is>
          <t>fixed deposit 5 lakh maturity, interest on 5 lakh fd, 5 lakh bank deposit calculation</t>
        </is>
      </c>
      <c r="I872" s="3" t="inlineStr">
        <is>
          <t>FD Calculator</t>
        </is>
      </c>
      <c r="J872" s="3" t="inlineStr">
        <is>
          <t>/finance/fd-calculator</t>
        </is>
      </c>
      <c r="K872" s="3" t="inlineStr">
        <is>
          <t>Provide complete step-by-step mathematical calculations for a Fixed Deposit of Rs 5 Lakh over 3 years at 7.25% annual interest with quarterly compounding, calculating exact interest earned, maturity amount, and applicable TDS deductions.</t>
        </is>
      </c>
      <c r="L872" s="2" t="inlineStr">
        <is>
          <t>YES</t>
        </is>
      </c>
      <c r="M872" s="2" t="inlineStr">
        <is>
          <t>HIGH</t>
        </is>
      </c>
      <c r="N872" s="2" t="inlineStr">
        <is>
          <t>READY</t>
        </is>
      </c>
      <c r="O872" s="3" t="inlineStr"/>
      <c r="P872" s="3" t="inlineStr"/>
      <c r="Q872" s="3" t="inlineStr"/>
      <c r="R872" s="3" t="inlineStr"/>
    </row>
    <row r="873" ht="20" customHeight="1">
      <c r="A873" s="4" t="inlineStr">
        <is>
          <t>ST872</t>
        </is>
      </c>
      <c r="B873" s="5" t="inlineStr">
        <is>
          <t>Rs 5 Lakh FD for 5 Years: The 5-Year Growth Milestone Analysis</t>
        </is>
      </c>
      <c r="C873" s="4" t="inlineStr">
        <is>
          <t>Finance</t>
        </is>
      </c>
      <c r="D873" s="5" t="inlineStr">
        <is>
          <t>FD</t>
        </is>
      </c>
      <c r="E873" s="4" t="inlineStr">
        <is>
          <t>Example</t>
        </is>
      </c>
      <c r="F873" s="4" t="inlineStr">
        <is>
          <t>Educational</t>
        </is>
      </c>
      <c r="G873" s="5" t="inlineStr">
        <is>
          <t>5 lakh fd for 5 years interest</t>
        </is>
      </c>
      <c r="H873" s="5" t="inlineStr">
        <is>
          <t>fixed deposit 5 lakh maturity, interest on 5 lakh fd, 5 lakh bank deposit calculation</t>
        </is>
      </c>
      <c r="I873" s="5" t="inlineStr">
        <is>
          <t>FD Calculator</t>
        </is>
      </c>
      <c r="J873" s="5" t="inlineStr">
        <is>
          <t>/finance/fd-calculator</t>
        </is>
      </c>
      <c r="K873" s="5" t="inlineStr">
        <is>
          <t>Provide complete step-by-step mathematical calculations for a Fixed Deposit of Rs 5 Lakh over 5 years at 7.5% annual interest with quarterly compounding, calculating exact interest earned, maturity amount, and applicable TDS deductions.</t>
        </is>
      </c>
      <c r="L873" s="4" t="inlineStr">
        <is>
          <t>YES</t>
        </is>
      </c>
      <c r="M873" s="4" t="inlineStr">
        <is>
          <t>HIGH</t>
        </is>
      </c>
      <c r="N873" s="4" t="inlineStr">
        <is>
          <t>READY</t>
        </is>
      </c>
      <c r="O873" s="5" t="inlineStr"/>
      <c r="P873" s="5" t="inlineStr"/>
      <c r="Q873" s="5" t="inlineStr"/>
      <c r="R873" s="5" t="inlineStr"/>
    </row>
    <row r="874" ht="20" customHeight="1">
      <c r="A874" s="2" t="inlineStr">
        <is>
          <t>ST873</t>
        </is>
      </c>
      <c r="B874" s="3" t="inlineStr">
        <is>
          <t>Rs 10 Lakh FD for 1 Year: Monthly vs Quarterly Payout Comparison</t>
        </is>
      </c>
      <c r="C874" s="2" t="inlineStr">
        <is>
          <t>Finance</t>
        </is>
      </c>
      <c r="D874" s="3" t="inlineStr">
        <is>
          <t>FD</t>
        </is>
      </c>
      <c r="E874" s="2" t="inlineStr">
        <is>
          <t>Example</t>
        </is>
      </c>
      <c r="F874" s="2" t="inlineStr">
        <is>
          <t>Educational</t>
        </is>
      </c>
      <c r="G874" s="3" t="inlineStr">
        <is>
          <t>10 lakh fd for 1 year interest</t>
        </is>
      </c>
      <c r="H874" s="3" t="inlineStr">
        <is>
          <t>fixed deposit 10 lakh maturity, interest on 10 lakh fd, 10 lakh bank deposit calculation</t>
        </is>
      </c>
      <c r="I874" s="3" t="inlineStr">
        <is>
          <t>FD Calculator</t>
        </is>
      </c>
      <c r="J874" s="3" t="inlineStr">
        <is>
          <t>/finance/fd-calculator</t>
        </is>
      </c>
      <c r="K874" s="3" t="inlineStr">
        <is>
          <t>Provide complete step-by-step mathematical calculations for a Fixed Deposit of Rs 10 Lakh over 1 years at 7.0% annual interest with quarterly compounding, calculating exact interest earned, maturity amount, and applicable TDS deductions.</t>
        </is>
      </c>
      <c r="L874" s="2" t="inlineStr">
        <is>
          <t>YES</t>
        </is>
      </c>
      <c r="M874" s="2" t="inlineStr">
        <is>
          <t>HIGH</t>
        </is>
      </c>
      <c r="N874" s="2" t="inlineStr">
        <is>
          <t>READY</t>
        </is>
      </c>
      <c r="O874" s="3" t="inlineStr"/>
      <c r="P874" s="3" t="inlineStr"/>
      <c r="Q874" s="3" t="inlineStr"/>
      <c r="R874" s="3" t="inlineStr"/>
    </row>
    <row r="875" ht="20" customHeight="1">
      <c r="A875" s="4" t="inlineStr">
        <is>
          <t>ST874</t>
        </is>
      </c>
      <c r="B875" s="5" t="inlineStr">
        <is>
          <t>Rs 10 Lakh FD for 3 Years: Generating Monthly Pension vs Cumulative Wealth</t>
        </is>
      </c>
      <c r="C875" s="4" t="inlineStr">
        <is>
          <t>Finance</t>
        </is>
      </c>
      <c r="D875" s="5" t="inlineStr">
        <is>
          <t>FD</t>
        </is>
      </c>
      <c r="E875" s="4" t="inlineStr">
        <is>
          <t>Example</t>
        </is>
      </c>
      <c r="F875" s="4" t="inlineStr">
        <is>
          <t>Educational</t>
        </is>
      </c>
      <c r="G875" s="5" t="inlineStr">
        <is>
          <t>10 lakh fd for 3 years interest</t>
        </is>
      </c>
      <c r="H875" s="5" t="inlineStr">
        <is>
          <t>fixed deposit 10 lakh maturity, interest on 10 lakh fd, 10 lakh bank deposit calculation</t>
        </is>
      </c>
      <c r="I875" s="5" t="inlineStr">
        <is>
          <t>FD Calculator</t>
        </is>
      </c>
      <c r="J875" s="5" t="inlineStr">
        <is>
          <t>/finance/fd-calculator</t>
        </is>
      </c>
      <c r="K875" s="5" t="inlineStr">
        <is>
          <t>Provide complete step-by-step mathematical calculations for a Fixed Deposit of Rs 10 Lakh over 3 years at 7.25% annual interest with quarterly compounding, calculating exact interest earned, maturity amount, and applicable TDS deductions.</t>
        </is>
      </c>
      <c r="L875" s="4" t="inlineStr">
        <is>
          <t>YES</t>
        </is>
      </c>
      <c r="M875" s="4" t="inlineStr">
        <is>
          <t>HIGH</t>
        </is>
      </c>
      <c r="N875" s="4" t="inlineStr">
        <is>
          <t>READY</t>
        </is>
      </c>
      <c r="O875" s="5" t="inlineStr"/>
      <c r="P875" s="5" t="inlineStr"/>
      <c r="Q875" s="5" t="inlineStr"/>
      <c r="R875" s="5" t="inlineStr"/>
    </row>
    <row r="876" ht="20" customHeight="1">
      <c r="A876" s="2" t="inlineStr">
        <is>
          <t>ST875</t>
        </is>
      </c>
      <c r="B876" s="3" t="inlineStr">
        <is>
          <t>Rs 10 Lakh FD for 5 Years: Building Substantial Guaranteed Capital</t>
        </is>
      </c>
      <c r="C876" s="2" t="inlineStr">
        <is>
          <t>Finance</t>
        </is>
      </c>
      <c r="D876" s="3" t="inlineStr">
        <is>
          <t>FD</t>
        </is>
      </c>
      <c r="E876" s="2" t="inlineStr">
        <is>
          <t>Example</t>
        </is>
      </c>
      <c r="F876" s="2" t="inlineStr">
        <is>
          <t>Educational</t>
        </is>
      </c>
      <c r="G876" s="3" t="inlineStr">
        <is>
          <t>10 lakh fd for 5 years interest</t>
        </is>
      </c>
      <c r="H876" s="3" t="inlineStr">
        <is>
          <t>fixed deposit 10 lakh maturity, interest on 10 lakh fd, 10 lakh bank deposit calculation</t>
        </is>
      </c>
      <c r="I876" s="3" t="inlineStr">
        <is>
          <t>FD Calculator</t>
        </is>
      </c>
      <c r="J876" s="3" t="inlineStr">
        <is>
          <t>/finance/fd-calculator</t>
        </is>
      </c>
      <c r="K876" s="3" t="inlineStr">
        <is>
          <t>Provide complete step-by-step mathematical calculations for a Fixed Deposit of Rs 10 Lakh over 5 years at 7.5% annual interest with quarterly compounding, calculating exact interest earned, maturity amount, and applicable TDS deductions.</t>
        </is>
      </c>
      <c r="L876" s="2" t="inlineStr">
        <is>
          <t>YES</t>
        </is>
      </c>
      <c r="M876" s="2" t="inlineStr">
        <is>
          <t>HIGH</t>
        </is>
      </c>
      <c r="N876" s="2" t="inlineStr">
        <is>
          <t>READY</t>
        </is>
      </c>
      <c r="O876" s="3" t="inlineStr"/>
      <c r="P876" s="3" t="inlineStr"/>
      <c r="Q876" s="3" t="inlineStr"/>
      <c r="R876" s="3" t="inlineStr"/>
    </row>
    <row r="877" ht="20" customHeight="1">
      <c r="A877" s="4" t="inlineStr">
        <is>
          <t>ST876</t>
        </is>
      </c>
      <c r="B877" s="5" t="inlineStr">
        <is>
          <t>Rs 20 Lakh FD for 3 Years: Wealth Accumulation and TDS Planning</t>
        </is>
      </c>
      <c r="C877" s="4" t="inlineStr">
        <is>
          <t>Finance</t>
        </is>
      </c>
      <c r="D877" s="5" t="inlineStr">
        <is>
          <t>FD</t>
        </is>
      </c>
      <c r="E877" s="4" t="inlineStr">
        <is>
          <t>Example</t>
        </is>
      </c>
      <c r="F877" s="4" t="inlineStr">
        <is>
          <t>Educational</t>
        </is>
      </c>
      <c r="G877" s="5" t="inlineStr">
        <is>
          <t>20 lakh fd for 3 years interest</t>
        </is>
      </c>
      <c r="H877" s="5" t="inlineStr">
        <is>
          <t>fixed deposit 20 lakh maturity, interest on 20 lakh fd, 20 lakh bank deposit calculation</t>
        </is>
      </c>
      <c r="I877" s="5" t="inlineStr">
        <is>
          <t>FD Calculator</t>
        </is>
      </c>
      <c r="J877" s="5" t="inlineStr">
        <is>
          <t>/finance/fd-calculator</t>
        </is>
      </c>
      <c r="K877" s="5" t="inlineStr">
        <is>
          <t>Provide complete step-by-step mathematical calculations for a Fixed Deposit of Rs 20 Lakh over 3 years at 7.25% annual interest with quarterly compounding, calculating exact interest earned, maturity amount, and applicable TDS deductions.</t>
        </is>
      </c>
      <c r="L877" s="4" t="inlineStr">
        <is>
          <t>YES</t>
        </is>
      </c>
      <c r="M877" s="4" t="inlineStr">
        <is>
          <t>MEDIUM</t>
        </is>
      </c>
      <c r="N877" s="4" t="inlineStr">
        <is>
          <t>READY</t>
        </is>
      </c>
      <c r="O877" s="5" t="inlineStr"/>
      <c r="P877" s="5" t="inlineStr"/>
      <c r="Q877" s="5" t="inlineStr"/>
      <c r="R877" s="5" t="inlineStr"/>
    </row>
    <row r="878" ht="20" customHeight="1">
      <c r="A878" s="2" t="inlineStr">
        <is>
          <t>ST877</t>
        </is>
      </c>
      <c r="B878" s="3" t="inlineStr">
        <is>
          <t>Rs 25 Lakh FD for 5 Years: Safe Retirement Portfolio Anchor</t>
        </is>
      </c>
      <c r="C878" s="2" t="inlineStr">
        <is>
          <t>Finance</t>
        </is>
      </c>
      <c r="D878" s="3" t="inlineStr">
        <is>
          <t>FD</t>
        </is>
      </c>
      <c r="E878" s="2" t="inlineStr">
        <is>
          <t>Example</t>
        </is>
      </c>
      <c r="F878" s="2" t="inlineStr">
        <is>
          <t>Educational</t>
        </is>
      </c>
      <c r="G878" s="3" t="inlineStr">
        <is>
          <t>25 lakh fd for 5 years interest</t>
        </is>
      </c>
      <c r="H878" s="3" t="inlineStr">
        <is>
          <t>fixed deposit 25 lakh maturity, interest on 25 lakh fd, 25 lakh bank deposit calculation</t>
        </is>
      </c>
      <c r="I878" s="3" t="inlineStr">
        <is>
          <t>FD Calculator</t>
        </is>
      </c>
      <c r="J878" s="3" t="inlineStr">
        <is>
          <t>/finance/fd-calculator</t>
        </is>
      </c>
      <c r="K878" s="3" t="inlineStr">
        <is>
          <t>Provide complete step-by-step mathematical calculations for a Fixed Deposit of Rs 25 Lakh over 5 years at 7.5% annual interest with quarterly compounding, calculating exact interest earned, maturity amount, and applicable TDS deductions.</t>
        </is>
      </c>
      <c r="L878" s="2" t="inlineStr">
        <is>
          <t>YES</t>
        </is>
      </c>
      <c r="M878" s="2" t="inlineStr">
        <is>
          <t>MEDIUM</t>
        </is>
      </c>
      <c r="N878" s="2" t="inlineStr">
        <is>
          <t>READY</t>
        </is>
      </c>
      <c r="O878" s="3" t="inlineStr"/>
      <c r="P878" s="3" t="inlineStr"/>
      <c r="Q878" s="3" t="inlineStr"/>
      <c r="R878" s="3" t="inlineStr"/>
    </row>
    <row r="879" ht="20" customHeight="1">
      <c r="A879" s="4" t="inlineStr">
        <is>
          <t>ST878</t>
        </is>
      </c>
      <c r="B879" s="5" t="inlineStr">
        <is>
          <t>Rs 50 Lakh FD for 3 Years: Diversifying Across Banks for Safety</t>
        </is>
      </c>
      <c r="C879" s="4" t="inlineStr">
        <is>
          <t>Finance</t>
        </is>
      </c>
      <c r="D879" s="5" t="inlineStr">
        <is>
          <t>FD</t>
        </is>
      </c>
      <c r="E879" s="4" t="inlineStr">
        <is>
          <t>Example</t>
        </is>
      </c>
      <c r="F879" s="4" t="inlineStr">
        <is>
          <t>Educational</t>
        </is>
      </c>
      <c r="G879" s="5" t="inlineStr">
        <is>
          <t>50 lakh fd for 3 years interest</t>
        </is>
      </c>
      <c r="H879" s="5" t="inlineStr">
        <is>
          <t>fixed deposit 50 lakh maturity, interest on 50 lakh fd, 50 lakh bank deposit calculation</t>
        </is>
      </c>
      <c r="I879" s="5" t="inlineStr">
        <is>
          <t>FD Calculator</t>
        </is>
      </c>
      <c r="J879" s="5" t="inlineStr">
        <is>
          <t>/finance/fd-calculator</t>
        </is>
      </c>
      <c r="K879" s="5" t="inlineStr">
        <is>
          <t>Provide complete step-by-step mathematical calculations for a Fixed Deposit of Rs 50 Lakh over 3 years at 7.25% annual interest with quarterly compounding, calculating exact interest earned, maturity amount, and applicable TDS deductions.</t>
        </is>
      </c>
      <c r="L879" s="4" t="inlineStr">
        <is>
          <t>YES</t>
        </is>
      </c>
      <c r="M879" s="4" t="inlineStr">
        <is>
          <t>HIGH</t>
        </is>
      </c>
      <c r="N879" s="4" t="inlineStr">
        <is>
          <t>READY</t>
        </is>
      </c>
      <c r="O879" s="5" t="inlineStr"/>
      <c r="P879" s="5" t="inlineStr"/>
      <c r="Q879" s="5" t="inlineStr"/>
      <c r="R879" s="5" t="inlineStr"/>
    </row>
    <row r="880" ht="20" customHeight="1">
      <c r="A880" s="2" t="inlineStr">
        <is>
          <t>ST879</t>
        </is>
      </c>
      <c r="B880" s="3" t="inlineStr">
        <is>
          <t>Rs 50 Lakh FD for 5 Years: Detailed Growth and Post-Tax Yield</t>
        </is>
      </c>
      <c r="C880" s="2" t="inlineStr">
        <is>
          <t>Finance</t>
        </is>
      </c>
      <c r="D880" s="3" t="inlineStr">
        <is>
          <t>FD</t>
        </is>
      </c>
      <c r="E880" s="2" t="inlineStr">
        <is>
          <t>Example</t>
        </is>
      </c>
      <c r="F880" s="2" t="inlineStr">
        <is>
          <t>Educational</t>
        </is>
      </c>
      <c r="G880" s="3" t="inlineStr">
        <is>
          <t>50 lakh fd for 5 years interest</t>
        </is>
      </c>
      <c r="H880" s="3" t="inlineStr">
        <is>
          <t>fixed deposit 50 lakh maturity, interest on 50 lakh fd, 50 lakh bank deposit calculation</t>
        </is>
      </c>
      <c r="I880" s="3" t="inlineStr">
        <is>
          <t>FD Calculator</t>
        </is>
      </c>
      <c r="J880" s="3" t="inlineStr">
        <is>
          <t>/finance/fd-calculator</t>
        </is>
      </c>
      <c r="K880" s="3" t="inlineStr">
        <is>
          <t>Provide complete step-by-step mathematical calculations for a Fixed Deposit of Rs 50 Lakh over 5 years at 7.5% annual interest with quarterly compounding, calculating exact interest earned, maturity amount, and applicable TDS deductions.</t>
        </is>
      </c>
      <c r="L880" s="2" t="inlineStr">
        <is>
          <t>YES</t>
        </is>
      </c>
      <c r="M880" s="2" t="inlineStr">
        <is>
          <t>HIGH</t>
        </is>
      </c>
      <c r="N880" s="2" t="inlineStr">
        <is>
          <t>READY</t>
        </is>
      </c>
      <c r="O880" s="3" t="inlineStr"/>
      <c r="P880" s="3" t="inlineStr"/>
      <c r="Q880" s="3" t="inlineStr"/>
      <c r="R880" s="3" t="inlineStr"/>
    </row>
    <row r="881" ht="20" customHeight="1">
      <c r="A881" s="4" t="inlineStr">
        <is>
          <t>ST880</t>
        </is>
      </c>
      <c r="B881" s="5" t="inlineStr">
        <is>
          <t>Rs 1 Crore FD for 1 Year: Annual Interest and Monthly Cash Flow Analysis</t>
        </is>
      </c>
      <c r="C881" s="4" t="inlineStr">
        <is>
          <t>Finance</t>
        </is>
      </c>
      <c r="D881" s="5" t="inlineStr">
        <is>
          <t>FD</t>
        </is>
      </c>
      <c r="E881" s="4" t="inlineStr">
        <is>
          <t>Example</t>
        </is>
      </c>
      <c r="F881" s="4" t="inlineStr">
        <is>
          <t>Educational</t>
        </is>
      </c>
      <c r="G881" s="5" t="inlineStr">
        <is>
          <t>1 crore fd for 1 year interest</t>
        </is>
      </c>
      <c r="H881" s="5" t="inlineStr">
        <is>
          <t>fixed deposit 100 lakh maturity, interest on 100 lakh fd, 100 lakh bank deposit calculation</t>
        </is>
      </c>
      <c r="I881" s="5" t="inlineStr">
        <is>
          <t>FD Calculator</t>
        </is>
      </c>
      <c r="J881" s="5" t="inlineStr">
        <is>
          <t>/finance/fd-calculator</t>
        </is>
      </c>
      <c r="K881" s="5" t="inlineStr">
        <is>
          <t>Provide complete step-by-step mathematical calculations for a Fixed Deposit of Rs 100 Lakh over 1 years at 7.0% annual interest with quarterly compounding, calculating exact interest earned, maturity amount, and applicable TDS deductions.</t>
        </is>
      </c>
      <c r="L881" s="4" t="inlineStr">
        <is>
          <t>YES</t>
        </is>
      </c>
      <c r="M881" s="4" t="inlineStr">
        <is>
          <t>HIGH</t>
        </is>
      </c>
      <c r="N881" s="4" t="inlineStr">
        <is>
          <t>READY</t>
        </is>
      </c>
      <c r="O881" s="5" t="inlineStr"/>
      <c r="P881" s="5" t="inlineStr"/>
      <c r="Q881" s="5" t="inlineStr"/>
      <c r="R881" s="5" t="inlineStr"/>
    </row>
    <row r="882" ht="20" customHeight="1">
      <c r="A882" s="2" t="inlineStr">
        <is>
          <t>ST881</t>
        </is>
      </c>
      <c r="B882" s="3" t="inlineStr">
        <is>
          <t>How Recurring Deposit (RD) Interest Is Calculated: The Monthly Deposit Compounding Formula</t>
        </is>
      </c>
      <c r="C882" s="2" t="inlineStr">
        <is>
          <t>Finance</t>
        </is>
      </c>
      <c r="D882" s="3" t="inlineStr">
        <is>
          <t>RD</t>
        </is>
      </c>
      <c r="E882" s="2" t="inlineStr">
        <is>
          <t>Formula Guide</t>
        </is>
      </c>
      <c r="F882" s="2" t="inlineStr">
        <is>
          <t>How-To</t>
        </is>
      </c>
      <c r="G882" s="3" t="inlineStr">
        <is>
          <t>how rd interest is calculated</t>
        </is>
      </c>
      <c r="H882" s="3" t="inlineStr">
        <is>
          <t>recurring deposit calculation formula, monthly deposit compounding formula rd, bank rd maturity value formula</t>
        </is>
      </c>
      <c r="I882" s="3" t="inlineStr">
        <is>
          <t>RD Calculator</t>
        </is>
      </c>
      <c r="J882" s="3" t="inlineStr">
        <is>
          <t>/finance/rd-calculator</t>
        </is>
      </c>
      <c r="K882" s="3" t="inlineStr">
        <is>
          <t>Explain the uniform series compound interest formula: each monthly installment earns interest for a different duration, compounded quarterly by Indian commercial banks.</t>
        </is>
      </c>
      <c r="L882" s="2" t="inlineStr">
        <is>
          <t>YES</t>
        </is>
      </c>
      <c r="M882" s="2" t="inlineStr">
        <is>
          <t>HIGH</t>
        </is>
      </c>
      <c r="N882" s="2" t="inlineStr">
        <is>
          <t>READY</t>
        </is>
      </c>
      <c r="O882" s="3" t="inlineStr"/>
      <c r="P882" s="3" t="inlineStr"/>
      <c r="Q882" s="3" t="inlineStr"/>
      <c r="R882" s="3" t="inlineStr"/>
    </row>
    <row r="883" ht="20" customHeight="1">
      <c r="A883" s="4" t="inlineStr">
        <is>
          <t>ST882</t>
        </is>
      </c>
      <c r="B883" s="5" t="inlineStr">
        <is>
          <t>Post Office Recurring Deposit (5-Year National Savings RD): Interest Rates and Rules</t>
        </is>
      </c>
      <c r="C883" s="4" t="inlineStr">
        <is>
          <t>Finance</t>
        </is>
      </c>
      <c r="D883" s="5" t="inlineStr">
        <is>
          <t>RD</t>
        </is>
      </c>
      <c r="E883" s="4" t="inlineStr">
        <is>
          <t>Guide</t>
        </is>
      </c>
      <c r="F883" s="4" t="inlineStr">
        <is>
          <t>Reference</t>
        </is>
      </c>
      <c r="G883" s="5" t="inlineStr">
        <is>
          <t>post office rd calculation formula</t>
        </is>
      </c>
      <c r="H883" s="5" t="inlineStr">
        <is>
          <t>post office 5 year recurring deposit, post office rd interest rate, post office rd vs bank rd</t>
        </is>
      </c>
      <c r="I883" s="5" t="inlineStr">
        <is>
          <t>RD Calculator</t>
        </is>
      </c>
      <c r="J883" s="5" t="inlineStr">
        <is>
          <t>/finance/rd-calculator</t>
        </is>
      </c>
      <c r="K883" s="5" t="inlineStr">
        <is>
          <t>Detail the sovereign Post Office RD scheme: fixed 5-year tenure, sovereign central government backing, loan facilities after 1 year, and quarterly compounding rules.</t>
        </is>
      </c>
      <c r="L883" s="4" t="inlineStr">
        <is>
          <t>YES</t>
        </is>
      </c>
      <c r="M883" s="4" t="inlineStr">
        <is>
          <t>HIGH</t>
        </is>
      </c>
      <c r="N883" s="4" t="inlineStr">
        <is>
          <t>READY</t>
        </is>
      </c>
      <c r="O883" s="5" t="inlineStr"/>
      <c r="P883" s="5" t="inlineStr"/>
      <c r="Q883" s="5" t="inlineStr"/>
      <c r="R883" s="5" t="inlineStr"/>
    </row>
    <row r="884" ht="20" customHeight="1">
      <c r="A884" s="2" t="inlineStr">
        <is>
          <t>ST883</t>
        </is>
      </c>
      <c r="B884" s="3" t="inlineStr">
        <is>
          <t>RD vs SIP: Which Monthly Savings Method Is Better for Beginners?</t>
        </is>
      </c>
      <c r="C884" s="2" t="inlineStr">
        <is>
          <t>Finance</t>
        </is>
      </c>
      <c r="D884" s="3" t="inlineStr">
        <is>
          <t>RD</t>
        </is>
      </c>
      <c r="E884" s="2" t="inlineStr">
        <is>
          <t>Comparison</t>
        </is>
      </c>
      <c r="F884" s="2" t="inlineStr">
        <is>
          <t>Comparison</t>
        </is>
      </c>
      <c r="G884" s="3" t="inlineStr">
        <is>
          <t>rd vs sip comparison</t>
        </is>
      </c>
      <c r="H884" s="3" t="inlineStr">
        <is>
          <t>recurring deposit vs mutual fund sip, safe guaranteed returns vs market risk, which is better rd or sip</t>
        </is>
      </c>
      <c r="I884" s="3" t="inlineStr">
        <is>
          <t>RD Calculator</t>
        </is>
      </c>
      <c r="J884" s="3" t="inlineStr">
        <is>
          <t>/finance/rd-calculator</t>
        </is>
      </c>
      <c r="K884" s="3" t="inlineStr">
        <is>
          <t>Compare guaranteed, capital-protected RD returns (6.5-7.5%) with market-linked mutual fund SIPs (11-13%), tenure flexibility, and volatility differences.</t>
        </is>
      </c>
      <c r="L884" s="2" t="inlineStr">
        <is>
          <t>YES</t>
        </is>
      </c>
      <c r="M884" s="2" t="inlineStr">
        <is>
          <t>HIGH</t>
        </is>
      </c>
      <c r="N884" s="2" t="inlineStr">
        <is>
          <t>READY</t>
        </is>
      </c>
      <c r="O884" s="3" t="inlineStr"/>
      <c r="P884" s="3" t="inlineStr"/>
      <c r="Q884" s="3" t="inlineStr"/>
      <c r="R884" s="3" t="inlineStr"/>
    </row>
    <row r="885" ht="20" customHeight="1">
      <c r="A885" s="4" t="inlineStr">
        <is>
          <t>ST884</t>
        </is>
      </c>
      <c r="B885" s="5" t="inlineStr">
        <is>
          <t>TDS on Recurring Deposit: Income Tax Rules and Threshold Limits Explained</t>
        </is>
      </c>
      <c r="C885" s="4" t="inlineStr">
        <is>
          <t>Finance</t>
        </is>
      </c>
      <c r="D885" s="5" t="inlineStr">
        <is>
          <t>RD</t>
        </is>
      </c>
      <c r="E885" s="4" t="inlineStr">
        <is>
          <t>Guide</t>
        </is>
      </c>
      <c r="F885" s="4" t="inlineStr">
        <is>
          <t>Reference</t>
        </is>
      </c>
      <c r="G885" s="5" t="inlineStr">
        <is>
          <t>tds on recurring deposit interest</t>
        </is>
      </c>
      <c r="H885" s="5" t="inlineStr">
        <is>
          <t>is rd interest taxable, section 194a rd tds limit, form 15g for recurring deposit</t>
        </is>
      </c>
      <c r="I885" s="5" t="inlineStr">
        <is>
          <t>RD Calculator</t>
        </is>
      </c>
      <c r="J885" s="5" t="inlineStr">
        <is>
          <t>/finance/rd-calculator</t>
        </is>
      </c>
      <c r="K885" s="5" t="inlineStr">
        <is>
          <t>Explain that RD interest is treated identically to FD interest under Section 194A: combined interest across FDs and RDs exceeding Rs 40k (Rs 50k for seniors) attracts 10% TDS.</t>
        </is>
      </c>
      <c r="L885" s="4" t="inlineStr">
        <is>
          <t>YES</t>
        </is>
      </c>
      <c r="M885" s="4" t="inlineStr">
        <is>
          <t>HIGH</t>
        </is>
      </c>
      <c r="N885" s="4" t="inlineStr">
        <is>
          <t>READY</t>
        </is>
      </c>
      <c r="O885" s="5" t="inlineStr"/>
      <c r="P885" s="5" t="inlineStr"/>
      <c r="Q885" s="5" t="inlineStr"/>
      <c r="R885" s="5" t="inlineStr"/>
    </row>
    <row r="886" ht="20" customHeight="1">
      <c r="A886" s="2" t="inlineStr">
        <is>
          <t>ST885</t>
        </is>
      </c>
      <c r="B886" s="3" t="inlineStr">
        <is>
          <t>What Happens If You Miss an RD Monthly Installment? Late Penalty Rules</t>
        </is>
      </c>
      <c r="C886" s="2" t="inlineStr">
        <is>
          <t>Finance</t>
        </is>
      </c>
      <c r="D886" s="3" t="inlineStr">
        <is>
          <t>RD</t>
        </is>
      </c>
      <c r="E886" s="2" t="inlineStr">
        <is>
          <t>Explanation</t>
        </is>
      </c>
      <c r="F886" s="2" t="inlineStr">
        <is>
          <t>Reference</t>
        </is>
      </c>
      <c r="G886" s="3" t="inlineStr">
        <is>
          <t>penalty for missed rd installment</t>
        </is>
      </c>
      <c r="H886" s="3" t="inlineStr">
        <is>
          <t>default charges recurring deposit, post office rd default penalty, bank rd grace period</t>
        </is>
      </c>
      <c r="I886" s="3" t="inlineStr">
        <is>
          <t>RD Calculator</t>
        </is>
      </c>
      <c r="J886" s="3" t="inlineStr">
        <is>
          <t>/finance/rd-calculator</t>
        </is>
      </c>
      <c r="K886" s="3" t="inlineStr">
        <is>
          <t>Detail default charges: typically Rs 1.50 per Rs 100 per month in Post Office, or small fixed penalties in commercial banks, and rules on account deactivation.</t>
        </is>
      </c>
      <c r="L886" s="2" t="inlineStr">
        <is>
          <t>YES</t>
        </is>
      </c>
      <c r="M886" s="2" t="inlineStr">
        <is>
          <t>MEDIUM</t>
        </is>
      </c>
      <c r="N886" s="2" t="inlineStr">
        <is>
          <t>READY</t>
        </is>
      </c>
      <c r="O886" s="3" t="inlineStr"/>
      <c r="P886" s="3" t="inlineStr"/>
      <c r="Q886" s="3" t="inlineStr"/>
      <c r="R886" s="3" t="inlineStr"/>
    </row>
    <row r="887" ht="20" customHeight="1">
      <c r="A887" s="4" t="inlineStr">
        <is>
          <t>ST886</t>
        </is>
      </c>
      <c r="B887" s="5" t="inlineStr">
        <is>
          <t>Premature Closure of Recurring Deposit: Rules, Interest Deductions, and Penalties</t>
        </is>
      </c>
      <c r="C887" s="4" t="inlineStr">
        <is>
          <t>Finance</t>
        </is>
      </c>
      <c r="D887" s="5" t="inlineStr">
        <is>
          <t>RD</t>
        </is>
      </c>
      <c r="E887" s="4" t="inlineStr">
        <is>
          <t>Guide</t>
        </is>
      </c>
      <c r="F887" s="4" t="inlineStr">
        <is>
          <t>How-To</t>
        </is>
      </c>
      <c r="G887" s="5" t="inlineStr">
        <is>
          <t>premature withdrawal of rd rules</t>
        </is>
      </c>
      <c r="H887" s="5" t="inlineStr">
        <is>
          <t>breaking recurring deposit early penalty, post office rd premature closure 3 years, bank rd premature rules</t>
        </is>
      </c>
      <c r="I887" s="5" t="inlineStr">
        <is>
          <t>RD Calculator</t>
        </is>
      </c>
      <c r="J887" s="5" t="inlineStr">
        <is>
          <t>/finance/rd-calculator</t>
        </is>
      </c>
      <c r="K887" s="5" t="inlineStr">
        <is>
          <t>Explain bank policies allowing premature closure subject to 1% interest penalty, and Post Office rules strictly prohibiting closure before 3 years.</t>
        </is>
      </c>
      <c r="L887" s="4" t="inlineStr">
        <is>
          <t>YES</t>
        </is>
      </c>
      <c r="M887" s="4" t="inlineStr">
        <is>
          <t>HIGH</t>
        </is>
      </c>
      <c r="N887" s="4" t="inlineStr">
        <is>
          <t>READY</t>
        </is>
      </c>
      <c r="O887" s="5" t="inlineStr"/>
      <c r="P887" s="5" t="inlineStr"/>
      <c r="Q887" s="5" t="inlineStr"/>
      <c r="R887" s="5" t="inlineStr"/>
    </row>
    <row r="888" ht="20" customHeight="1">
      <c r="A888" s="2" t="inlineStr">
        <is>
          <t>ST887</t>
        </is>
      </c>
      <c r="B888" s="3" t="inlineStr">
        <is>
          <t>How to Use a 1-Year RD to Build an Emergency Fund from Scratch</t>
        </is>
      </c>
      <c r="C888" s="2" t="inlineStr">
        <is>
          <t>Finance</t>
        </is>
      </c>
      <c r="D888" s="3" t="inlineStr">
        <is>
          <t>RD</t>
        </is>
      </c>
      <c r="E888" s="2" t="inlineStr">
        <is>
          <t>Planning Guide</t>
        </is>
      </c>
      <c r="F888" s="2" t="inlineStr">
        <is>
          <t>Planning</t>
        </is>
      </c>
      <c r="G888" s="3" t="inlineStr">
        <is>
          <t>how to build emergency fund using rd</t>
        </is>
      </c>
      <c r="H888" s="3" t="inlineStr">
        <is>
          <t>emergency savings using recurring deposit, monthly budget emergency fund, safe liquid savings</t>
        </is>
      </c>
      <c r="I888" s="3" t="inlineStr">
        <is>
          <t>RD Calculator</t>
        </is>
      </c>
      <c r="J888" s="3" t="inlineStr">
        <is>
          <t>/finance/rd-calculator</t>
        </is>
      </c>
      <c r="K888" s="3" t="inlineStr">
        <is>
          <t>Provide a disciplined monthly plan: saving 20% of salary into a 12-month RD to build a baseline 3-to-6 month living expense reserve without market risk.</t>
        </is>
      </c>
      <c r="L888" s="2" t="inlineStr">
        <is>
          <t>YES</t>
        </is>
      </c>
      <c r="M888" s="2" t="inlineStr">
        <is>
          <t>HIGH</t>
        </is>
      </c>
      <c r="N888" s="2" t="inlineStr">
        <is>
          <t>READY</t>
        </is>
      </c>
      <c r="O888" s="3" t="inlineStr"/>
      <c r="P888" s="3" t="inlineStr"/>
      <c r="Q888" s="3" t="inlineStr"/>
      <c r="R888" s="3" t="inlineStr"/>
    </row>
    <row r="889" ht="20" customHeight="1">
      <c r="A889" s="4" t="inlineStr">
        <is>
          <t>ST888</t>
        </is>
      </c>
      <c r="B889" s="5" t="inlineStr">
        <is>
          <t>Senior Citizen Recurring Deposit Benefits: Additional Interest Rates Explained</t>
        </is>
      </c>
      <c r="C889" s="4" t="inlineStr">
        <is>
          <t>Finance</t>
        </is>
      </c>
      <c r="D889" s="5" t="inlineStr">
        <is>
          <t>RD</t>
        </is>
      </c>
      <c r="E889" s="4" t="inlineStr">
        <is>
          <t>Guide</t>
        </is>
      </c>
      <c r="F889" s="4" t="inlineStr">
        <is>
          <t>Reference</t>
        </is>
      </c>
      <c r="G889" s="5" t="inlineStr">
        <is>
          <t>senior citizen rd interest rate</t>
        </is>
      </c>
      <c r="H889" s="5" t="inlineStr">
        <is>
          <t>extra interest for senior citizen rd, bank recurring deposit senior citizen, elderly savings scheme</t>
        </is>
      </c>
      <c r="I889" s="5" t="inlineStr">
        <is>
          <t>RD Calculator</t>
        </is>
      </c>
      <c r="J889" s="5" t="inlineStr">
        <is>
          <t>/finance/rd-calculator</t>
        </is>
      </c>
      <c r="K889" s="5" t="inlineStr">
        <is>
          <t>Explain preferential 0.50% interest bonus on bank RDs for depositors age 60+, and Section 80TTB tax exemptions on accumulated interest.</t>
        </is>
      </c>
      <c r="L889" s="4" t="inlineStr">
        <is>
          <t>YES</t>
        </is>
      </c>
      <c r="M889" s="4" t="inlineStr">
        <is>
          <t>MEDIUM</t>
        </is>
      </c>
      <c r="N889" s="4" t="inlineStr">
        <is>
          <t>READY</t>
        </is>
      </c>
      <c r="O889" s="5" t="inlineStr"/>
      <c r="P889" s="5" t="inlineStr"/>
      <c r="Q889" s="5" t="inlineStr"/>
      <c r="R889" s="5" t="inlineStr"/>
    </row>
    <row r="890" ht="20" customHeight="1">
      <c r="A890" s="2" t="inlineStr">
        <is>
          <t>ST889</t>
        </is>
      </c>
      <c r="B890" s="3" t="inlineStr">
        <is>
          <t>Flexi Recurring Deposit: How to Deposit Variable Amounts Every Month</t>
        </is>
      </c>
      <c r="C890" s="2" t="inlineStr">
        <is>
          <t>Finance</t>
        </is>
      </c>
      <c r="D890" s="3" t="inlineStr">
        <is>
          <t>RD</t>
        </is>
      </c>
      <c r="E890" s="2" t="inlineStr">
        <is>
          <t>Guide</t>
        </is>
      </c>
      <c r="F890" s="2" t="inlineStr">
        <is>
          <t>Informational</t>
        </is>
      </c>
      <c r="G890" s="3" t="inlineStr">
        <is>
          <t>sbi flexi recurring deposit scheme</t>
        </is>
      </c>
      <c r="H890" s="3" t="inlineStr">
        <is>
          <t>flexible rd scheme bank, variable monthly deposit rd, flexi rd vs regular rd</t>
        </is>
      </c>
      <c r="I890" s="3" t="inlineStr">
        <is>
          <t>RD Calculator</t>
        </is>
      </c>
      <c r="J890" s="3" t="inlineStr">
        <is>
          <t>/finance/rd-calculator</t>
        </is>
      </c>
      <c r="K890" s="3" t="inlineStr">
        <is>
          <t>Explain SBI Flexi RD and private bank equivalents that let depositors increase or decrease monthly contributions within chosen multiples without default penalties.</t>
        </is>
      </c>
      <c r="L890" s="2" t="inlineStr">
        <is>
          <t>YES</t>
        </is>
      </c>
      <c r="M890" s="2" t="inlineStr">
        <is>
          <t>HIGH</t>
        </is>
      </c>
      <c r="N890" s="2" t="inlineStr">
        <is>
          <t>READY</t>
        </is>
      </c>
      <c r="O890" s="3" t="inlineStr"/>
      <c r="P890" s="3" t="inlineStr"/>
      <c r="Q890" s="3" t="inlineStr"/>
      <c r="R890" s="3" t="inlineStr"/>
    </row>
    <row r="891" ht="20" customHeight="1">
      <c r="A891" s="4" t="inlineStr">
        <is>
          <t>ST890</t>
        </is>
      </c>
      <c r="B891" s="5" t="inlineStr">
        <is>
          <t>Summary Guide: Essential Formulas and Compounding Rules for Recurring Deposits</t>
        </is>
      </c>
      <c r="C891" s="4" t="inlineStr">
        <is>
          <t>Finance</t>
        </is>
      </c>
      <c r="D891" s="5" t="inlineStr">
        <is>
          <t>RD</t>
        </is>
      </c>
      <c r="E891" s="4" t="inlineStr">
        <is>
          <t>Formula Guide</t>
        </is>
      </c>
      <c r="F891" s="4" t="inlineStr">
        <is>
          <t>Reference</t>
        </is>
      </c>
      <c r="G891" s="5" t="inlineStr">
        <is>
          <t>recurring deposit formulas summary</t>
        </is>
      </c>
      <c r="H891" s="5" t="inlineStr">
        <is>
          <t>all rd formulas cheat sheet, monthly installment compound interest formula, rd reference sheet</t>
        </is>
      </c>
      <c r="I891" s="5" t="inlineStr">
        <is>
          <t>RD Calculator</t>
        </is>
      </c>
      <c r="J891" s="5" t="inlineStr">
        <is>
          <t>/finance/rd-calculator</t>
        </is>
      </c>
      <c r="K891" s="5" t="inlineStr">
        <is>
          <t>Consolidated reference sheet detailing the series compounding equation, quarterly conversion math, and maturity calculation algorithms for bank and Post Office RDs.</t>
        </is>
      </c>
      <c r="L891" s="4" t="inlineStr">
        <is>
          <t>YES</t>
        </is>
      </c>
      <c r="M891" s="4" t="inlineStr">
        <is>
          <t>HIGH</t>
        </is>
      </c>
      <c r="N891" s="4" t="inlineStr">
        <is>
          <t>READY</t>
        </is>
      </c>
      <c r="O891" s="5" t="inlineStr"/>
      <c r="P891" s="5" t="inlineStr"/>
      <c r="Q891" s="5" t="inlineStr"/>
      <c r="R891" s="5" t="inlineStr"/>
    </row>
    <row r="892" ht="20" customHeight="1">
      <c r="A892" s="2" t="inlineStr">
        <is>
          <t>ST891</t>
        </is>
      </c>
      <c r="B892" s="3" t="inlineStr">
        <is>
          <t>Rs 1,000 Monthly RD for 1 Year: Total Savings, Interest Earned, and Maturity Amount</t>
        </is>
      </c>
      <c r="C892" s="2" t="inlineStr">
        <is>
          <t>Finance</t>
        </is>
      </c>
      <c r="D892" s="3" t="inlineStr">
        <is>
          <t>RD</t>
        </is>
      </c>
      <c r="E892" s="2" t="inlineStr">
        <is>
          <t>Example</t>
        </is>
      </c>
      <c r="F892" s="2" t="inlineStr">
        <is>
          <t>Educational</t>
        </is>
      </c>
      <c r="G892" s="3" t="inlineStr">
        <is>
          <t>1000 per month rd for 1 year</t>
        </is>
      </c>
      <c r="H892" s="3" t="inlineStr">
        <is>
          <t>recurring deposit 1000 per month, maturity value of 1000 rd, interest on 1000 per month rd</t>
        </is>
      </c>
      <c r="I892" s="3" t="inlineStr">
        <is>
          <t>RD Calculator</t>
        </is>
      </c>
      <c r="J892" s="3" t="inlineStr">
        <is>
          <t>/finance/rd-calculator</t>
        </is>
      </c>
      <c r="K892" s="3" t="inlineStr">
        <is>
          <t>Provide complete step-by-step mathematical calculations for a monthly Recurring Deposit of Rs 1,000 over 1 years at 7.0% annual interest with quarterly compounding, calculating exact interest earned, total deposits made, and maturity proceeds.</t>
        </is>
      </c>
      <c r="L892" s="2" t="inlineStr">
        <is>
          <t>YES</t>
        </is>
      </c>
      <c r="M892" s="2" t="inlineStr">
        <is>
          <t>HIGH</t>
        </is>
      </c>
      <c r="N892" s="2" t="inlineStr">
        <is>
          <t>READY</t>
        </is>
      </c>
      <c r="O892" s="3" t="inlineStr"/>
      <c r="P892" s="3" t="inlineStr"/>
      <c r="Q892" s="3" t="inlineStr"/>
      <c r="R892" s="3" t="inlineStr"/>
    </row>
    <row r="893" ht="20" customHeight="1">
      <c r="A893" s="4" t="inlineStr">
        <is>
          <t>ST892</t>
        </is>
      </c>
      <c r="B893" s="5" t="inlineStr">
        <is>
          <t>Rs 2,000 Monthly RD for 1 Year: Building Short-Term Capital</t>
        </is>
      </c>
      <c r="C893" s="4" t="inlineStr">
        <is>
          <t>Finance</t>
        </is>
      </c>
      <c r="D893" s="5" t="inlineStr">
        <is>
          <t>RD</t>
        </is>
      </c>
      <c r="E893" s="4" t="inlineStr">
        <is>
          <t>Example</t>
        </is>
      </c>
      <c r="F893" s="4" t="inlineStr">
        <is>
          <t>Educational</t>
        </is>
      </c>
      <c r="G893" s="5" t="inlineStr">
        <is>
          <t>2000 per month rd for 1 year</t>
        </is>
      </c>
      <c r="H893" s="5" t="inlineStr">
        <is>
          <t>recurring deposit 2000 per month, maturity value of 2000 rd, interest on 2000 per month rd</t>
        </is>
      </c>
      <c r="I893" s="5" t="inlineStr">
        <is>
          <t>RD Calculator</t>
        </is>
      </c>
      <c r="J893" s="5" t="inlineStr">
        <is>
          <t>/finance/rd-calculator</t>
        </is>
      </c>
      <c r="K893" s="5" t="inlineStr">
        <is>
          <t>Provide complete step-by-step mathematical calculations for a monthly Recurring Deposit of Rs 2,000 over 1 years at 7.0% annual interest with quarterly compounding, calculating exact interest earned, total deposits made, and maturity proceeds.</t>
        </is>
      </c>
      <c r="L893" s="4" t="inlineStr">
        <is>
          <t>YES</t>
        </is>
      </c>
      <c r="M893" s="4" t="inlineStr">
        <is>
          <t>MEDIUM</t>
        </is>
      </c>
      <c r="N893" s="4" t="inlineStr">
        <is>
          <t>READY</t>
        </is>
      </c>
      <c r="O893" s="5" t="inlineStr"/>
      <c r="P893" s="5" t="inlineStr"/>
      <c r="Q893" s="5" t="inlineStr"/>
      <c r="R893" s="5" t="inlineStr"/>
    </row>
    <row r="894" ht="20" customHeight="1">
      <c r="A894" s="2" t="inlineStr">
        <is>
          <t>ST893</t>
        </is>
      </c>
      <c r="B894" s="3" t="inlineStr">
        <is>
          <t>Rs 3,000 Monthly RD for 2 Years: Step-by-Step Maturity Calculation</t>
        </is>
      </c>
      <c r="C894" s="2" t="inlineStr">
        <is>
          <t>Finance</t>
        </is>
      </c>
      <c r="D894" s="3" t="inlineStr">
        <is>
          <t>RD</t>
        </is>
      </c>
      <c r="E894" s="2" t="inlineStr">
        <is>
          <t>Example</t>
        </is>
      </c>
      <c r="F894" s="2" t="inlineStr">
        <is>
          <t>Educational</t>
        </is>
      </c>
      <c r="G894" s="3" t="inlineStr">
        <is>
          <t>3000 per month rd for 2 years</t>
        </is>
      </c>
      <c r="H894" s="3" t="inlineStr">
        <is>
          <t>recurring deposit 3000 per month, maturity value of 3000 rd, interest on 3000 per month rd</t>
        </is>
      </c>
      <c r="I894" s="3" t="inlineStr">
        <is>
          <t>RD Calculator</t>
        </is>
      </c>
      <c r="J894" s="3" t="inlineStr">
        <is>
          <t>/finance/rd-calculator</t>
        </is>
      </c>
      <c r="K894" s="3" t="inlineStr">
        <is>
          <t>Provide complete step-by-step mathematical calculations for a monthly Recurring Deposit of Rs 3,000 over 2 years at 7.1% annual interest with quarterly compounding, calculating exact interest earned, total deposits made, and maturity proceeds.</t>
        </is>
      </c>
      <c r="L894" s="2" t="inlineStr">
        <is>
          <t>YES</t>
        </is>
      </c>
      <c r="M894" s="2" t="inlineStr">
        <is>
          <t>MEDIUM</t>
        </is>
      </c>
      <c r="N894" s="2" t="inlineStr">
        <is>
          <t>READY</t>
        </is>
      </c>
      <c r="O894" s="3" t="inlineStr"/>
      <c r="P894" s="3" t="inlineStr"/>
      <c r="Q894" s="3" t="inlineStr"/>
      <c r="R894" s="3" t="inlineStr"/>
    </row>
    <row r="895" ht="20" customHeight="1">
      <c r="A895" s="4" t="inlineStr">
        <is>
          <t>ST894</t>
        </is>
      </c>
      <c r="B895" s="5" t="inlineStr">
        <is>
          <t>Rs 5,000 Monthly RD for 1 Year: Accumulating Over Rs 62,000 Guaranteed</t>
        </is>
      </c>
      <c r="C895" s="4" t="inlineStr">
        <is>
          <t>Finance</t>
        </is>
      </c>
      <c r="D895" s="5" t="inlineStr">
        <is>
          <t>RD</t>
        </is>
      </c>
      <c r="E895" s="4" t="inlineStr">
        <is>
          <t>Example</t>
        </is>
      </c>
      <c r="F895" s="4" t="inlineStr">
        <is>
          <t>Educational</t>
        </is>
      </c>
      <c r="G895" s="5" t="inlineStr">
        <is>
          <t>5000 per month rd for 1 year</t>
        </is>
      </c>
      <c r="H895" s="5" t="inlineStr">
        <is>
          <t>recurring deposit 5000 per month, maturity value of 5000 rd, interest on 5000 per month rd</t>
        </is>
      </c>
      <c r="I895" s="5" t="inlineStr">
        <is>
          <t>RD Calculator</t>
        </is>
      </c>
      <c r="J895" s="5" t="inlineStr">
        <is>
          <t>/finance/rd-calculator</t>
        </is>
      </c>
      <c r="K895" s="5" t="inlineStr">
        <is>
          <t>Provide complete step-by-step mathematical calculations for a monthly Recurring Deposit of Rs 5,000 over 1 years at 7.0% annual interest with quarterly compounding, calculating exact interest earned, total deposits made, and maturity proceeds.</t>
        </is>
      </c>
      <c r="L895" s="4" t="inlineStr">
        <is>
          <t>YES</t>
        </is>
      </c>
      <c r="M895" s="4" t="inlineStr">
        <is>
          <t>HIGH</t>
        </is>
      </c>
      <c r="N895" s="4" t="inlineStr">
        <is>
          <t>READY</t>
        </is>
      </c>
      <c r="O895" s="5" t="inlineStr"/>
      <c r="P895" s="5" t="inlineStr"/>
      <c r="Q895" s="5" t="inlineStr"/>
      <c r="R895" s="5" t="inlineStr"/>
    </row>
    <row r="896" ht="20" customHeight="1">
      <c r="A896" s="2" t="inlineStr">
        <is>
          <t>ST895</t>
        </is>
      </c>
      <c r="B896" s="3" t="inlineStr">
        <is>
          <t>Rs 5,000 Monthly RD for 2 Years: Interest and Principal Breakdown</t>
        </is>
      </c>
      <c r="C896" s="2" t="inlineStr">
        <is>
          <t>Finance</t>
        </is>
      </c>
      <c r="D896" s="3" t="inlineStr">
        <is>
          <t>RD</t>
        </is>
      </c>
      <c r="E896" s="2" t="inlineStr">
        <is>
          <t>Example</t>
        </is>
      </c>
      <c r="F896" s="2" t="inlineStr">
        <is>
          <t>Educational</t>
        </is>
      </c>
      <c r="G896" s="3" t="inlineStr">
        <is>
          <t>5000 per month rd for 2 years</t>
        </is>
      </c>
      <c r="H896" s="3" t="inlineStr">
        <is>
          <t>recurring deposit 5000 per month, maturity value of 5000 rd, interest on 5000 per month rd</t>
        </is>
      </c>
      <c r="I896" s="3" t="inlineStr">
        <is>
          <t>RD Calculator</t>
        </is>
      </c>
      <c r="J896" s="3" t="inlineStr">
        <is>
          <t>/finance/rd-calculator</t>
        </is>
      </c>
      <c r="K896" s="3" t="inlineStr">
        <is>
          <t>Provide complete step-by-step mathematical calculations for a monthly Recurring Deposit of Rs 5,000 over 2 years at 7.1% annual interest with quarterly compounding, calculating exact interest earned, total deposits made, and maturity proceeds.</t>
        </is>
      </c>
      <c r="L896" s="2" t="inlineStr">
        <is>
          <t>YES</t>
        </is>
      </c>
      <c r="M896" s="2" t="inlineStr">
        <is>
          <t>HIGH</t>
        </is>
      </c>
      <c r="N896" s="2" t="inlineStr">
        <is>
          <t>READY</t>
        </is>
      </c>
      <c r="O896" s="3" t="inlineStr"/>
      <c r="P896" s="3" t="inlineStr"/>
      <c r="Q896" s="3" t="inlineStr"/>
      <c r="R896" s="3" t="inlineStr"/>
    </row>
    <row r="897" ht="20" customHeight="1">
      <c r="A897" s="4" t="inlineStr">
        <is>
          <t>ST896</t>
        </is>
      </c>
      <c r="B897" s="5" t="inlineStr">
        <is>
          <t>Rs 5,000 Monthly RD for 3 Years: Mid-Term Guaranteed Wealth Accumulation</t>
        </is>
      </c>
      <c r="C897" s="4" t="inlineStr">
        <is>
          <t>Finance</t>
        </is>
      </c>
      <c r="D897" s="5" t="inlineStr">
        <is>
          <t>RD</t>
        </is>
      </c>
      <c r="E897" s="4" t="inlineStr">
        <is>
          <t>Example</t>
        </is>
      </c>
      <c r="F897" s="4" t="inlineStr">
        <is>
          <t>Educational</t>
        </is>
      </c>
      <c r="G897" s="5" t="inlineStr">
        <is>
          <t>5000 per month rd for 3 years</t>
        </is>
      </c>
      <c r="H897" s="5" t="inlineStr">
        <is>
          <t>recurring deposit 5000 per month, maturity value of 5000 rd, interest on 5000 per month rd</t>
        </is>
      </c>
      <c r="I897" s="5" t="inlineStr">
        <is>
          <t>RD Calculator</t>
        </is>
      </c>
      <c r="J897" s="5" t="inlineStr">
        <is>
          <t>/finance/rd-calculator</t>
        </is>
      </c>
      <c r="K897" s="5" t="inlineStr">
        <is>
          <t>Provide complete step-by-step mathematical calculations for a monthly Recurring Deposit of Rs 5,000 over 3 years at 7.25% annual interest with quarterly compounding, calculating exact interest earned, total deposits made, and maturity proceeds.</t>
        </is>
      </c>
      <c r="L897" s="4" t="inlineStr">
        <is>
          <t>YES</t>
        </is>
      </c>
      <c r="M897" s="4" t="inlineStr">
        <is>
          <t>HIGH</t>
        </is>
      </c>
      <c r="N897" s="4" t="inlineStr">
        <is>
          <t>READY</t>
        </is>
      </c>
      <c r="O897" s="5" t="inlineStr"/>
      <c r="P897" s="5" t="inlineStr"/>
      <c r="Q897" s="5" t="inlineStr"/>
      <c r="R897" s="5" t="inlineStr"/>
    </row>
    <row r="898" ht="20" customHeight="1">
      <c r="A898" s="2" t="inlineStr">
        <is>
          <t>ST897</t>
        </is>
      </c>
      <c r="B898" s="3" t="inlineStr">
        <is>
          <t>Rs 5,000 Monthly RD for 5 Years: The 3 Lakh Milestone Analysis</t>
        </is>
      </c>
      <c r="C898" s="2" t="inlineStr">
        <is>
          <t>Finance</t>
        </is>
      </c>
      <c r="D898" s="3" t="inlineStr">
        <is>
          <t>RD</t>
        </is>
      </c>
      <c r="E898" s="2" t="inlineStr">
        <is>
          <t>Example</t>
        </is>
      </c>
      <c r="F898" s="2" t="inlineStr">
        <is>
          <t>Educational</t>
        </is>
      </c>
      <c r="G898" s="3" t="inlineStr">
        <is>
          <t>5000 per month rd for 5 years</t>
        </is>
      </c>
      <c r="H898" s="3" t="inlineStr">
        <is>
          <t>recurring deposit 5000 per month, maturity value of 5000 rd, interest on 5000 per month rd</t>
        </is>
      </c>
      <c r="I898" s="3" t="inlineStr">
        <is>
          <t>RD Calculator</t>
        </is>
      </c>
      <c r="J898" s="3" t="inlineStr">
        <is>
          <t>/finance/rd-calculator</t>
        </is>
      </c>
      <c r="K898" s="3" t="inlineStr">
        <is>
          <t>Provide complete step-by-step mathematical calculations for a monthly Recurring Deposit of Rs 5,000 over 5 years at 7.5% annual interest with quarterly compounding, calculating exact interest earned, total deposits made, and maturity proceeds.</t>
        </is>
      </c>
      <c r="L898" s="2" t="inlineStr">
        <is>
          <t>YES</t>
        </is>
      </c>
      <c r="M898" s="2" t="inlineStr">
        <is>
          <t>HIGH</t>
        </is>
      </c>
      <c r="N898" s="2" t="inlineStr">
        <is>
          <t>READY</t>
        </is>
      </c>
      <c r="O898" s="3" t="inlineStr"/>
      <c r="P898" s="3" t="inlineStr"/>
      <c r="Q898" s="3" t="inlineStr"/>
      <c r="R898" s="3" t="inlineStr"/>
    </row>
    <row r="899" ht="20" customHeight="1">
      <c r="A899" s="4" t="inlineStr">
        <is>
          <t>ST898</t>
        </is>
      </c>
      <c r="B899" s="5" t="inlineStr">
        <is>
          <t>Rs 10,000 Monthly RD for 1 Year: Fast-Tracking Emergency Liquidity</t>
        </is>
      </c>
      <c r="C899" s="4" t="inlineStr">
        <is>
          <t>Finance</t>
        </is>
      </c>
      <c r="D899" s="5" t="inlineStr">
        <is>
          <t>RD</t>
        </is>
      </c>
      <c r="E899" s="4" t="inlineStr">
        <is>
          <t>Example</t>
        </is>
      </c>
      <c r="F899" s="4" t="inlineStr">
        <is>
          <t>Educational</t>
        </is>
      </c>
      <c r="G899" s="5" t="inlineStr">
        <is>
          <t>10000 per month rd for 1 year</t>
        </is>
      </c>
      <c r="H899" s="5" t="inlineStr">
        <is>
          <t>recurring deposit 10000 per month, maturity value of 10000 rd, interest on 10000 per month rd</t>
        </is>
      </c>
      <c r="I899" s="5" t="inlineStr">
        <is>
          <t>RD Calculator</t>
        </is>
      </c>
      <c r="J899" s="5" t="inlineStr">
        <is>
          <t>/finance/rd-calculator</t>
        </is>
      </c>
      <c r="K899" s="5" t="inlineStr">
        <is>
          <t>Provide complete step-by-step mathematical calculations for a monthly Recurring Deposit of Rs 10,000 over 1 years at 7.0% annual interest with quarterly compounding, calculating exact interest earned, total deposits made, and maturity proceeds.</t>
        </is>
      </c>
      <c r="L899" s="4" t="inlineStr">
        <is>
          <t>YES</t>
        </is>
      </c>
      <c r="M899" s="4" t="inlineStr">
        <is>
          <t>HIGH</t>
        </is>
      </c>
      <c r="N899" s="4" t="inlineStr">
        <is>
          <t>READY</t>
        </is>
      </c>
      <c r="O899" s="5" t="inlineStr"/>
      <c r="P899" s="5" t="inlineStr"/>
      <c r="Q899" s="5" t="inlineStr"/>
      <c r="R899" s="5" t="inlineStr"/>
    </row>
    <row r="900" ht="20" customHeight="1">
      <c r="A900" s="2" t="inlineStr">
        <is>
          <t>ST899</t>
        </is>
      </c>
      <c r="B900" s="3" t="inlineStr">
        <is>
          <t>Rs 10,000 Monthly RD for 3 Years: Maturity Amount and Tax Considerations</t>
        </is>
      </c>
      <c r="C900" s="2" t="inlineStr">
        <is>
          <t>Finance</t>
        </is>
      </c>
      <c r="D900" s="3" t="inlineStr">
        <is>
          <t>RD</t>
        </is>
      </c>
      <c r="E900" s="2" t="inlineStr">
        <is>
          <t>Example</t>
        </is>
      </c>
      <c r="F900" s="2" t="inlineStr">
        <is>
          <t>Educational</t>
        </is>
      </c>
      <c r="G900" s="3" t="inlineStr">
        <is>
          <t>10000 per month rd for 3 years</t>
        </is>
      </c>
      <c r="H900" s="3" t="inlineStr">
        <is>
          <t>recurring deposit 10000 per month, maturity value of 10000 rd, interest on 10000 per month rd</t>
        </is>
      </c>
      <c r="I900" s="3" t="inlineStr">
        <is>
          <t>RD Calculator</t>
        </is>
      </c>
      <c r="J900" s="3" t="inlineStr">
        <is>
          <t>/finance/rd-calculator</t>
        </is>
      </c>
      <c r="K900" s="3" t="inlineStr">
        <is>
          <t>Provide complete step-by-step mathematical calculations for a monthly Recurring Deposit of Rs 10,000 over 3 years at 7.25% annual interest with quarterly compounding, calculating exact interest earned, total deposits made, and maturity proceeds.</t>
        </is>
      </c>
      <c r="L900" s="2" t="inlineStr">
        <is>
          <t>YES</t>
        </is>
      </c>
      <c r="M900" s="2" t="inlineStr">
        <is>
          <t>HIGH</t>
        </is>
      </c>
      <c r="N900" s="2" t="inlineStr">
        <is>
          <t>READY</t>
        </is>
      </c>
      <c r="O900" s="3" t="inlineStr"/>
      <c r="P900" s="3" t="inlineStr"/>
      <c r="Q900" s="3" t="inlineStr"/>
      <c r="R900" s="3" t="inlineStr"/>
    </row>
    <row r="901" ht="20" customHeight="1">
      <c r="A901" s="4" t="inlineStr">
        <is>
          <t>ST900</t>
        </is>
      </c>
      <c r="B901" s="5" t="inlineStr">
        <is>
          <t>Rs 20,000 Monthly RD for 2 Years: Large Monthly Savings Milestone</t>
        </is>
      </c>
      <c r="C901" s="4" t="inlineStr">
        <is>
          <t>Finance</t>
        </is>
      </c>
      <c r="D901" s="5" t="inlineStr">
        <is>
          <t>RD</t>
        </is>
      </c>
      <c r="E901" s="4" t="inlineStr">
        <is>
          <t>Example</t>
        </is>
      </c>
      <c r="F901" s="4" t="inlineStr">
        <is>
          <t>Educational</t>
        </is>
      </c>
      <c r="G901" s="5" t="inlineStr">
        <is>
          <t>20000 per month rd for 2 years</t>
        </is>
      </c>
      <c r="H901" s="5" t="inlineStr">
        <is>
          <t>recurring deposit 20000 per month, maturity value of 20000 rd, interest on 20000 per month rd</t>
        </is>
      </c>
      <c r="I901" s="5" t="inlineStr">
        <is>
          <t>RD Calculator</t>
        </is>
      </c>
      <c r="J901" s="5" t="inlineStr">
        <is>
          <t>/finance/rd-calculator</t>
        </is>
      </c>
      <c r="K901" s="5" t="inlineStr">
        <is>
          <t>Provide complete step-by-step mathematical calculations for a monthly Recurring Deposit of Rs 20,000 over 2 years at 7.1% annual interest with quarterly compounding, calculating exact interest earned, total deposits made, and maturity proceeds.</t>
        </is>
      </c>
      <c r="L901" s="4" t="inlineStr">
        <is>
          <t>YES</t>
        </is>
      </c>
      <c r="M901" s="4" t="inlineStr">
        <is>
          <t>MEDIUM</t>
        </is>
      </c>
      <c r="N901" s="4" t="inlineStr">
        <is>
          <t>READY</t>
        </is>
      </c>
      <c r="O901" s="5" t="inlineStr"/>
      <c r="P901" s="5" t="inlineStr"/>
      <c r="Q901" s="5" t="inlineStr"/>
      <c r="R901" s="5" t="inlineStr"/>
    </row>
    <row r="902" ht="20" customHeight="1">
      <c r="A902" s="2" t="inlineStr">
        <is>
          <t>ST901</t>
        </is>
      </c>
      <c r="B902" s="3" t="inlineStr">
        <is>
          <t>Income Tax Calculator FY 2024-25 and FY 2025-26: New vs Old Tax Regime Slabs Compared</t>
        </is>
      </c>
      <c r="C902" s="2" t="inlineStr">
        <is>
          <t>Finance</t>
        </is>
      </c>
      <c r="D902" s="3" t="inlineStr">
        <is>
          <t>Income Tax</t>
        </is>
      </c>
      <c r="E902" s="2" t="inlineStr">
        <is>
          <t>Guide</t>
        </is>
      </c>
      <c r="F902" s="2" t="inlineStr">
        <is>
          <t>Reference</t>
        </is>
      </c>
      <c r="G902" s="3" t="inlineStr">
        <is>
          <t>income tax calculator new vs old regime</t>
        </is>
      </c>
      <c r="H902" s="3" t="inlineStr">
        <is>
          <t>income tax slabs fy 2024 25, new tax regime tax slabs, income tax comparison calculator india</t>
        </is>
      </c>
      <c r="I902" s="3" t="inlineStr">
        <is>
          <t>Income Tax Calculator</t>
        </is>
      </c>
      <c r="J902" s="3" t="inlineStr">
        <is>
          <t>/finance/tax-calculator</t>
        </is>
      </c>
      <c r="K902" s="3" t="inlineStr">
        <is>
          <t>Detailed comparison of current statutory slabs across New Tax Regime (0-3L Nil, 3-7L 5%, 7-10L 10%, 10-12L 15%, 12-15L 20%, &gt;15L 30%) and Old Tax Regime.</t>
        </is>
      </c>
      <c r="L902" s="2" t="inlineStr">
        <is>
          <t>NO</t>
        </is>
      </c>
      <c r="M902" s="2" t="inlineStr">
        <is>
          <t>HIGH</t>
        </is>
      </c>
      <c r="N902" s="2" t="inlineStr">
        <is>
          <t>READY</t>
        </is>
      </c>
      <c r="O902" s="3" t="inlineStr"/>
      <c r="P902" s="3" t="inlineStr"/>
      <c r="Q902" s="3" t="inlineStr"/>
      <c r="R902" s="3" t="inlineStr"/>
    </row>
    <row r="903" ht="20" customHeight="1">
      <c r="A903" s="4" t="inlineStr">
        <is>
          <t>ST902</t>
        </is>
      </c>
      <c r="B903" s="5" t="inlineStr">
        <is>
          <t>Section 87A Tax Rebate: How Salaried Employees Pay Zero Tax on Income up to Rs 7.75 Lakh</t>
        </is>
      </c>
      <c r="C903" s="4" t="inlineStr">
        <is>
          <t>Finance</t>
        </is>
      </c>
      <c r="D903" s="5" t="inlineStr">
        <is>
          <t>Income Tax</t>
        </is>
      </c>
      <c r="E903" s="4" t="inlineStr">
        <is>
          <t>Explanation</t>
        </is>
      </c>
      <c r="F903" s="4" t="inlineStr">
        <is>
          <t>Educational</t>
        </is>
      </c>
      <c r="G903" s="5" t="inlineStr">
        <is>
          <t>section 87a rebate new tax regime</t>
        </is>
      </c>
      <c r="H903" s="5" t="inlineStr">
        <is>
          <t>zero tax up to 7.75 lakh, standard deduction 75000 plus 87a rebate, how section 87a works</t>
        </is>
      </c>
      <c r="I903" s="5" t="inlineStr">
        <is>
          <t>Income Tax Calculator</t>
        </is>
      </c>
      <c r="J903" s="5" t="inlineStr">
        <is>
          <t>/finance/tax-calculator</t>
        </is>
      </c>
      <c r="K903" s="5" t="inlineStr">
        <is>
          <t>Show mathematical proof: Gross Salary Rs 7,75,000 minus Rs 75,000 Standard Deduction = Rs 7,00,000 Taxable Income. Section 87A rebate wipes out full Rs 20,000 tax to zero.</t>
        </is>
      </c>
      <c r="L903" s="4" t="inlineStr">
        <is>
          <t>YES</t>
        </is>
      </c>
      <c r="M903" s="4" t="inlineStr">
        <is>
          <t>HIGH</t>
        </is>
      </c>
      <c r="N903" s="4" t="inlineStr">
        <is>
          <t>READY</t>
        </is>
      </c>
      <c r="O903" s="5" t="inlineStr"/>
      <c r="P903" s="5" t="inlineStr"/>
      <c r="Q903" s="5" t="inlineStr"/>
      <c r="R903" s="5" t="inlineStr"/>
    </row>
    <row r="904" ht="20" customHeight="1">
      <c r="A904" s="2" t="inlineStr">
        <is>
          <t>ST903</t>
        </is>
      </c>
      <c r="B904" s="3" t="inlineStr">
        <is>
          <t>Standard Deduction of Rs 75,000: Eligibility, Rules, and Tax Savings Calculation</t>
        </is>
      </c>
      <c r="C904" s="2" t="inlineStr">
        <is>
          <t>Finance</t>
        </is>
      </c>
      <c r="D904" s="3" t="inlineStr">
        <is>
          <t>Income Tax</t>
        </is>
      </c>
      <c r="E904" s="2" t="inlineStr">
        <is>
          <t>Guide</t>
        </is>
      </c>
      <c r="F904" s="2" t="inlineStr">
        <is>
          <t>Reference</t>
        </is>
      </c>
      <c r="G904" s="3" t="inlineStr">
        <is>
          <t>standard deduction 75000 salaried employees</t>
        </is>
      </c>
      <c r="H904" s="3" t="inlineStr">
        <is>
          <t>budget standard deduction hike 75000, standard deduction pension and salary, how standard deduction saves tax</t>
        </is>
      </c>
      <c r="I904" s="3" t="inlineStr">
        <is>
          <t>Income Tax Calculator</t>
        </is>
      </c>
      <c r="J904" s="3" t="inlineStr">
        <is>
          <t>/finance/tax-calculator</t>
        </is>
      </c>
      <c r="K904" s="3" t="inlineStr">
        <is>
          <t>Explain the statutory flat deduction available to all salaried employees and pensioners under both tax regimes without requiring expense proofs.</t>
        </is>
      </c>
      <c r="L904" s="2" t="inlineStr">
        <is>
          <t>YES</t>
        </is>
      </c>
      <c r="M904" s="2" t="inlineStr">
        <is>
          <t>HIGH</t>
        </is>
      </c>
      <c r="N904" s="2" t="inlineStr">
        <is>
          <t>READY</t>
        </is>
      </c>
      <c r="O904" s="3" t="inlineStr"/>
      <c r="P904" s="3" t="inlineStr"/>
      <c r="Q904" s="3" t="inlineStr"/>
      <c r="R904" s="3" t="inlineStr"/>
    </row>
    <row r="905" ht="20" customHeight="1">
      <c r="A905" s="4" t="inlineStr">
        <is>
          <t>ST904</t>
        </is>
      </c>
      <c r="B905" s="5" t="inlineStr">
        <is>
          <t>Old Tax Regime vs New Tax Regime: The Exact Breakeven Deduction Calculation</t>
        </is>
      </c>
      <c r="C905" s="4" t="inlineStr">
        <is>
          <t>Finance</t>
        </is>
      </c>
      <c r="D905" s="5" t="inlineStr">
        <is>
          <t>Income Tax</t>
        </is>
      </c>
      <c r="E905" s="4" t="inlineStr">
        <is>
          <t>Formula Guide</t>
        </is>
      </c>
      <c r="F905" s="4" t="inlineStr">
        <is>
          <t>Planning</t>
        </is>
      </c>
      <c r="G905" s="5" t="inlineStr">
        <is>
          <t>breakeven point between old and new tax regime</t>
        </is>
      </c>
      <c r="H905" s="5" t="inlineStr">
        <is>
          <t>how much deduction needed to make old regime better, old vs new tax regime formula, choosing right tax regime</t>
        </is>
      </c>
      <c r="I905" s="5" t="inlineStr">
        <is>
          <t>Income Tax Calculator</t>
        </is>
      </c>
      <c r="J905" s="5" t="inlineStr">
        <is>
          <t>/finance/tax-calculator</t>
        </is>
      </c>
      <c r="K905" s="5" t="inlineStr">
        <is>
          <t>Derive the breakeven threshold: an employee earning Rs 15 LPA needs more than Rs 3.75 Lakh to Rs 4.25 Lakh in eligible deductions (80C, 80D, HRA, Home Loan) to beat the New Regime.</t>
        </is>
      </c>
      <c r="L905" s="4" t="inlineStr">
        <is>
          <t>YES</t>
        </is>
      </c>
      <c r="M905" s="4" t="inlineStr">
        <is>
          <t>HIGH</t>
        </is>
      </c>
      <c r="N905" s="4" t="inlineStr">
        <is>
          <t>READY</t>
        </is>
      </c>
      <c r="O905" s="5" t="inlineStr"/>
      <c r="P905" s="5" t="inlineStr"/>
      <c r="Q905" s="5" t="inlineStr"/>
      <c r="R905" s="5" t="inlineStr"/>
    </row>
    <row r="906" ht="20" customHeight="1">
      <c r="A906" s="2" t="inlineStr">
        <is>
          <t>ST905</t>
        </is>
      </c>
      <c r="B906" s="3" t="inlineStr">
        <is>
          <t>Section 80C Deductions: The Rs 1.5 Lakh Limit and Eligible Investment Options</t>
        </is>
      </c>
      <c r="C906" s="2" t="inlineStr">
        <is>
          <t>Finance</t>
        </is>
      </c>
      <c r="D906" s="3" t="inlineStr">
        <is>
          <t>Income Tax</t>
        </is>
      </c>
      <c r="E906" s="2" t="inlineStr">
        <is>
          <t>Guide</t>
        </is>
      </c>
      <c r="F906" s="2" t="inlineStr">
        <is>
          <t>Reference</t>
        </is>
      </c>
      <c r="G906" s="3" t="inlineStr">
        <is>
          <t>section 80c deduction list and limit</t>
        </is>
      </c>
      <c r="H906" s="3" t="inlineStr">
        <is>
          <t>80c tax saving instruments, elss ppf epf in 80c, life insurance premium 80c exemption</t>
        </is>
      </c>
      <c r="I906" s="3" t="inlineStr">
        <is>
          <t>Income Tax Calculator</t>
        </is>
      </c>
      <c r="J906" s="3" t="inlineStr">
        <is>
          <t>/finance/tax-calculator</t>
        </is>
      </c>
      <c r="K906" s="3" t="inlineStr">
        <is>
          <t>Comprehensive review of 80C options (EPF, PPF, ELSS, Term Insurance, Home Loan Principal, Children Tuition Fees) under the Old Tax Regime.</t>
        </is>
      </c>
      <c r="L906" s="2" t="inlineStr">
        <is>
          <t>YES</t>
        </is>
      </c>
      <c r="M906" s="2" t="inlineStr">
        <is>
          <t>HIGH</t>
        </is>
      </c>
      <c r="N906" s="2" t="inlineStr">
        <is>
          <t>READY</t>
        </is>
      </c>
      <c r="O906" s="3" t="inlineStr"/>
      <c r="P906" s="3" t="inlineStr"/>
      <c r="Q906" s="3" t="inlineStr"/>
      <c r="R906" s="3" t="inlineStr"/>
    </row>
    <row r="907" ht="20" customHeight="1">
      <c r="A907" s="4" t="inlineStr">
        <is>
          <t>ST906</t>
        </is>
      </c>
      <c r="B907" s="5" t="inlineStr">
        <is>
          <t>Section 80D Health Insurance Tax Deduction: Parents, Self, and Senior Citizen Limits</t>
        </is>
      </c>
      <c r="C907" s="4" t="inlineStr">
        <is>
          <t>Finance</t>
        </is>
      </c>
      <c r="D907" s="5" t="inlineStr">
        <is>
          <t>Income Tax</t>
        </is>
      </c>
      <c r="E907" s="4" t="inlineStr">
        <is>
          <t>Guide</t>
        </is>
      </c>
      <c r="F907" s="4" t="inlineStr">
        <is>
          <t>Reference</t>
        </is>
      </c>
      <c r="G907" s="5" t="inlineStr">
        <is>
          <t>section 80d health insurance deduction limit</t>
        </is>
      </c>
      <c r="H907" s="5" t="inlineStr">
        <is>
          <t>medical insurance tax exemption 80d, preventive health checkup 5000, parents health insurance tax deduction</t>
        </is>
      </c>
      <c r="I907" s="5" t="inlineStr">
        <is>
          <t>Income Tax Calculator</t>
        </is>
      </c>
      <c r="J907" s="5" t="inlineStr">
        <is>
          <t>/finance/tax-calculator</t>
        </is>
      </c>
      <c r="K907" s="5" t="inlineStr">
        <is>
          <t>Detail deduction ceilings: Rs 25,000 for self/family + Rs 25,000 for parents (&lt;60 yrs) or Rs 50,000 for senior citizen parents, with Rs 5,000 preventive checkup.</t>
        </is>
      </c>
      <c r="L907" s="4" t="inlineStr">
        <is>
          <t>YES</t>
        </is>
      </c>
      <c r="M907" s="4" t="inlineStr">
        <is>
          <t>HIGH</t>
        </is>
      </c>
      <c r="N907" s="4" t="inlineStr">
        <is>
          <t>READY</t>
        </is>
      </c>
      <c r="O907" s="5" t="inlineStr"/>
      <c r="P907" s="5" t="inlineStr"/>
      <c r="Q907" s="5" t="inlineStr"/>
      <c r="R907" s="5" t="inlineStr"/>
    </row>
    <row r="908" ht="20" customHeight="1">
      <c r="A908" s="2" t="inlineStr">
        <is>
          <t>ST907</t>
        </is>
      </c>
      <c r="B908" s="3" t="inlineStr">
        <is>
          <t>Section 80CCD(1B) National Pension System (NPS): The Extra Rs 50,000 Tax Exemption</t>
        </is>
      </c>
      <c r="C908" s="2" t="inlineStr">
        <is>
          <t>Finance</t>
        </is>
      </c>
      <c r="D908" s="3" t="inlineStr">
        <is>
          <t>Income Tax</t>
        </is>
      </c>
      <c r="E908" s="2" t="inlineStr">
        <is>
          <t>Guide</t>
        </is>
      </c>
      <c r="F908" s="2" t="inlineStr">
        <is>
          <t>Reference</t>
        </is>
      </c>
      <c r="G908" s="3" t="inlineStr">
        <is>
          <t>nps extra 50000 tax deduction 80ccd 1b</t>
        </is>
      </c>
      <c r="H908" s="3" t="inlineStr">
        <is>
          <t>tier 1 nps tax benefit, additional 50000 deduction over 80c, national pension system tax savings</t>
        </is>
      </c>
      <c r="I908" s="3" t="inlineStr">
        <is>
          <t>Income Tax Calculator</t>
        </is>
      </c>
      <c r="J908" s="3" t="inlineStr">
        <is>
          <t>/finance/tax-calculator</t>
        </is>
      </c>
      <c r="K908" s="3" t="inlineStr">
        <is>
          <t>Explain the unique additional deduction exclusively for Tier-1 NPS contributions over and above the Rs 1.5 Lakh Section 80C ceiling.</t>
        </is>
      </c>
      <c r="L908" s="2" t="inlineStr">
        <is>
          <t>YES</t>
        </is>
      </c>
      <c r="M908" s="2" t="inlineStr">
        <is>
          <t>HIGH</t>
        </is>
      </c>
      <c r="N908" s="2" t="inlineStr">
        <is>
          <t>READY</t>
        </is>
      </c>
      <c r="O908" s="3" t="inlineStr"/>
      <c r="P908" s="3" t="inlineStr"/>
      <c r="Q908" s="3" t="inlineStr"/>
      <c r="R908" s="3" t="inlineStr"/>
    </row>
    <row r="909" ht="20" customHeight="1">
      <c r="A909" s="4" t="inlineStr">
        <is>
          <t>ST908</t>
        </is>
      </c>
      <c r="B909" s="5" t="inlineStr">
        <is>
          <t>Health &amp; Education Cess (4%): How It Applies on Income Tax and Surcharge</t>
        </is>
      </c>
      <c r="C909" s="4" t="inlineStr">
        <is>
          <t>Finance</t>
        </is>
      </c>
      <c r="D909" s="5" t="inlineStr">
        <is>
          <t>Income Tax</t>
        </is>
      </c>
      <c r="E909" s="4" t="inlineStr">
        <is>
          <t>Formula Guide</t>
        </is>
      </c>
      <c r="F909" s="4" t="inlineStr">
        <is>
          <t>Educational</t>
        </is>
      </c>
      <c r="G909" s="5" t="inlineStr">
        <is>
          <t>health and education cess calculation 4 percent</t>
        </is>
      </c>
      <c r="H909" s="5" t="inlineStr">
        <is>
          <t>how 4 percent cess is calculated, income tax cess formula, cess on income tax in india</t>
        </is>
      </c>
      <c r="I909" s="5" t="inlineStr">
        <is>
          <t>Income Tax Calculator</t>
        </is>
      </c>
      <c r="J909" s="5" t="inlineStr">
        <is>
          <t>/finance/tax-calculator</t>
        </is>
      </c>
      <c r="K909" s="5" t="inlineStr">
        <is>
          <t>Formula: Total Tax = (Base Tax + Surcharge) * 1.04. Explain why cess applies to total computed tax liability rather than total gross income.</t>
        </is>
      </c>
      <c r="L909" s="4" t="inlineStr">
        <is>
          <t>YES</t>
        </is>
      </c>
      <c r="M909" s="4" t="inlineStr">
        <is>
          <t>HIGH</t>
        </is>
      </c>
      <c r="N909" s="4" t="inlineStr">
        <is>
          <t>READY</t>
        </is>
      </c>
      <c r="O909" s="5" t="inlineStr"/>
      <c r="P909" s="5" t="inlineStr"/>
      <c r="Q909" s="5" t="inlineStr"/>
      <c r="R909" s="5" t="inlineStr"/>
    </row>
    <row r="910" ht="20" customHeight="1">
      <c r="A910" s="2" t="inlineStr">
        <is>
          <t>ST909</t>
        </is>
      </c>
      <c r="B910" s="3" t="inlineStr">
        <is>
          <t>Advance Tax Calculation and Due Dates: Who Must Pay and How to Avoid Interest Penalties</t>
        </is>
      </c>
      <c r="C910" s="2" t="inlineStr">
        <is>
          <t>Finance</t>
        </is>
      </c>
      <c r="D910" s="3" t="inlineStr">
        <is>
          <t>Income Tax</t>
        </is>
      </c>
      <c r="E910" s="2" t="inlineStr">
        <is>
          <t>Guide</t>
        </is>
      </c>
      <c r="F910" s="2" t="inlineStr">
        <is>
          <t>How-To</t>
        </is>
      </c>
      <c r="G910" s="3" t="inlineStr">
        <is>
          <t>advance tax calculation and due dates</t>
        </is>
      </c>
      <c r="H910" s="3" t="inlineStr">
        <is>
          <t>who is liable to pay advance tax, 10000 tax liability rule, section 234b and 234c interest calculation</t>
        </is>
      </c>
      <c r="I910" s="3" t="inlineStr">
        <is>
          <t>Income Tax Calculator</t>
        </is>
      </c>
      <c r="J910" s="3" t="inlineStr">
        <is>
          <t>/finance/tax-calculator</t>
        </is>
      </c>
      <c r="K910" s="3" t="inlineStr">
        <is>
          <t>Detail statutory rules: any taxpayer whose net annual tax liability after TDS exceeds Rs 10,000 must pay advance tax in 4 quarterly installments (15%, 45%, 75%, 100%).</t>
        </is>
      </c>
      <c r="L910" s="2" t="inlineStr">
        <is>
          <t>YES</t>
        </is>
      </c>
      <c r="M910" s="2" t="inlineStr">
        <is>
          <t>HIGH</t>
        </is>
      </c>
      <c r="N910" s="2" t="inlineStr">
        <is>
          <t>READY</t>
        </is>
      </c>
      <c r="O910" s="3" t="inlineStr"/>
      <c r="P910" s="3" t="inlineStr"/>
      <c r="Q910" s="3" t="inlineStr"/>
      <c r="R910" s="3" t="inlineStr"/>
    </row>
    <row r="911" ht="20" customHeight="1">
      <c r="A911" s="4" t="inlineStr">
        <is>
          <t>ST910</t>
        </is>
      </c>
      <c r="B911" s="5" t="inlineStr">
        <is>
          <t>How to Calculate Income Tax on Fixed Deposit and Savings Bank Interest</t>
        </is>
      </c>
      <c r="C911" s="4" t="inlineStr">
        <is>
          <t>Finance</t>
        </is>
      </c>
      <c r="D911" s="5" t="inlineStr">
        <is>
          <t>Income Tax</t>
        </is>
      </c>
      <c r="E911" s="4" t="inlineStr">
        <is>
          <t>How-To</t>
        </is>
      </c>
      <c r="F911" s="4" t="inlineStr">
        <is>
          <t>How-To</t>
        </is>
      </c>
      <c r="G911" s="5" t="inlineStr">
        <is>
          <t>how to calculate tax on fd interest</t>
        </is>
      </c>
      <c r="H911" s="5" t="inlineStr">
        <is>
          <t>fd interest added to income slab rate, section 80tta savings interest 10000, 80ttb senior citizen 50000</t>
        </is>
      </c>
      <c r="I911" s="5" t="inlineStr">
        <is>
          <t>Income Tax Calculator</t>
        </is>
      </c>
      <c r="J911" s="5" t="inlineStr">
        <is>
          <t>/finance/tax-calculator</t>
        </is>
      </c>
      <c r="K911" s="5" t="inlineStr">
        <is>
          <t>Explain how bank interest is added to total 'Income from Other Sources' and taxed at applicable marginal slab rates, highlighting 80TTA (Rs 10k) and 80TTB (Rs 50k) exemptions.</t>
        </is>
      </c>
      <c r="L911" s="4" t="inlineStr">
        <is>
          <t>YES</t>
        </is>
      </c>
      <c r="M911" s="4" t="inlineStr">
        <is>
          <t>HIGH</t>
        </is>
      </c>
      <c r="N911" s="4" t="inlineStr">
        <is>
          <t>READY</t>
        </is>
      </c>
      <c r="O911" s="5" t="inlineStr"/>
      <c r="P911" s="5" t="inlineStr"/>
      <c r="Q911" s="5" t="inlineStr"/>
      <c r="R911" s="5" t="inlineStr"/>
    </row>
    <row r="912" ht="20" customHeight="1">
      <c r="A912" s="2" t="inlineStr">
        <is>
          <t>ST911</t>
        </is>
      </c>
      <c r="B912" s="3" t="inlineStr">
        <is>
          <t>Can You Switch Between New and Old Tax Regimes Every Year?</t>
        </is>
      </c>
      <c r="C912" s="2" t="inlineStr">
        <is>
          <t>Finance</t>
        </is>
      </c>
      <c r="D912" s="3" t="inlineStr">
        <is>
          <t>Income Tax</t>
        </is>
      </c>
      <c r="E912" s="2" t="inlineStr">
        <is>
          <t>Explanation</t>
        </is>
      </c>
      <c r="F912" s="2" t="inlineStr">
        <is>
          <t>Reference</t>
        </is>
      </c>
      <c r="G912" s="3" t="inlineStr">
        <is>
          <t>can i switch between old and new tax regime every year</t>
        </is>
      </c>
      <c r="H912" s="3" t="inlineStr">
        <is>
          <t>switching tax regime salaried vs business, form 10iea rule, default tax regime rules</t>
        </is>
      </c>
      <c r="I912" s="3" t="inlineStr">
        <is>
          <t>Income Tax Calculator</t>
        </is>
      </c>
      <c r="J912" s="3" t="inlineStr">
        <is>
          <t>/finance/tax-calculator</t>
        </is>
      </c>
      <c r="K912" s="3" t="inlineStr">
        <is>
          <t>Clarify the rule: salaried individuals with no business income can freely switch between regimes every year while filing ITR; business owners can only switch once in a lifetime.</t>
        </is>
      </c>
      <c r="L912" s="2" t="inlineStr">
        <is>
          <t>YES</t>
        </is>
      </c>
      <c r="M912" s="2" t="inlineStr">
        <is>
          <t>HIGH</t>
        </is>
      </c>
      <c r="N912" s="2" t="inlineStr">
        <is>
          <t>READY</t>
        </is>
      </c>
      <c r="O912" s="3" t="inlineStr"/>
      <c r="P912" s="3" t="inlineStr"/>
      <c r="Q912" s="3" t="inlineStr"/>
      <c r="R912" s="3" t="inlineStr"/>
    </row>
    <row r="913" ht="20" customHeight="1">
      <c r="A913" s="4" t="inlineStr">
        <is>
          <t>ST912</t>
        </is>
      </c>
      <c r="B913" s="5" t="inlineStr">
        <is>
          <t>Marginal Relief in Income Tax: How It Protects Incomes Just Above Rs 7 Lakh or Surcharge Thresholds</t>
        </is>
      </c>
      <c r="C913" s="4" t="inlineStr">
        <is>
          <t>Finance</t>
        </is>
      </c>
      <c r="D913" s="5" t="inlineStr">
        <is>
          <t>Income Tax</t>
        </is>
      </c>
      <c r="E913" s="4" t="inlineStr">
        <is>
          <t>Explanation</t>
        </is>
      </c>
      <c r="F913" s="4" t="inlineStr">
        <is>
          <t>Educational</t>
        </is>
      </c>
      <c r="G913" s="5" t="inlineStr">
        <is>
          <t>marginal relief calculation in income tax</t>
        </is>
      </c>
      <c r="H913" s="5" t="inlineStr">
        <is>
          <t>how marginal relief works section 87a, tax relief for income slightly above 7 lakh, surcharge marginal relief formula</t>
        </is>
      </c>
      <c r="I913" s="5" t="inlineStr">
        <is>
          <t>Income Tax Calculator</t>
        </is>
      </c>
      <c r="J913" s="5" t="inlineStr">
        <is>
          <t>/finance/tax-calculator</t>
        </is>
      </c>
      <c r="K913" s="5" t="inlineStr">
        <is>
          <t>Explain the protection formula ensuring the incremental tax payable does not exceed the incremental income earned above the threshold.</t>
        </is>
      </c>
      <c r="L913" s="4" t="inlineStr">
        <is>
          <t>YES</t>
        </is>
      </c>
      <c r="M913" s="4" t="inlineStr">
        <is>
          <t>HIGH</t>
        </is>
      </c>
      <c r="N913" s="4" t="inlineStr">
        <is>
          <t>READY</t>
        </is>
      </c>
      <c r="O913" s="5" t="inlineStr"/>
      <c r="P913" s="5" t="inlineStr"/>
      <c r="Q913" s="5" t="inlineStr"/>
      <c r="R913" s="5" t="inlineStr"/>
    </row>
    <row r="914" ht="20" customHeight="1">
      <c r="A914" s="2" t="inlineStr">
        <is>
          <t>ST913</t>
        </is>
      </c>
      <c r="B914" s="3" t="inlineStr">
        <is>
          <t>How Capital Gains Are Taxed on Stocks and Mutual Funds Under New Tax Rules</t>
        </is>
      </c>
      <c r="C914" s="2" t="inlineStr">
        <is>
          <t>Finance</t>
        </is>
      </c>
      <c r="D914" s="3" t="inlineStr">
        <is>
          <t>Income Tax</t>
        </is>
      </c>
      <c r="E914" s="2" t="inlineStr">
        <is>
          <t>Guide</t>
        </is>
      </c>
      <c r="F914" s="2" t="inlineStr">
        <is>
          <t>Reference</t>
        </is>
      </c>
      <c r="G914" s="3" t="inlineStr">
        <is>
          <t>capital gains tax rates budget update</t>
        </is>
      </c>
      <c r="H914" s="3" t="inlineStr">
        <is>
          <t>new ltcg tax rate 12.5 percent, stcg tax rate 20 percent on shares, listed shares tax calculation</t>
        </is>
      </c>
      <c r="I914" s="3" t="inlineStr">
        <is>
          <t>Income Tax Calculator</t>
        </is>
      </c>
      <c r="J914" s="3" t="inlineStr">
        <is>
          <t>/finance/tax-calculator</t>
        </is>
      </c>
      <c r="K914" s="3" t="inlineStr">
        <is>
          <t>Detail the revised statutory tax framework: Short-Term Capital Gains (STCG) on equity taxed at 20%, and Long-Term Capital Gains (LTCG) taxed at 12.5% beyond Rs 1.25 Lakh exemption.</t>
        </is>
      </c>
      <c r="L914" s="2" t="inlineStr">
        <is>
          <t>YES</t>
        </is>
      </c>
      <c r="M914" s="2" t="inlineStr">
        <is>
          <t>HIGH</t>
        </is>
      </c>
      <c r="N914" s="2" t="inlineStr">
        <is>
          <t>READY</t>
        </is>
      </c>
      <c r="O914" s="3" t="inlineStr"/>
      <c r="P914" s="3" t="inlineStr"/>
      <c r="Q914" s="3" t="inlineStr"/>
      <c r="R914" s="3" t="inlineStr"/>
    </row>
    <row r="915" ht="20" customHeight="1">
      <c r="A915" s="4" t="inlineStr">
        <is>
          <t>ST914</t>
        </is>
      </c>
      <c r="B915" s="5" t="inlineStr">
        <is>
          <t>How to Calculate Tax on Agricultural Income in India: The Partial Integration Method</t>
        </is>
      </c>
      <c r="C915" s="4" t="inlineStr">
        <is>
          <t>Finance</t>
        </is>
      </c>
      <c r="D915" s="5" t="inlineStr">
        <is>
          <t>Income Tax</t>
        </is>
      </c>
      <c r="E915" s="4" t="inlineStr">
        <is>
          <t>Formula Guide</t>
        </is>
      </c>
      <c r="F915" s="4" t="inlineStr">
        <is>
          <t>Educational</t>
        </is>
      </c>
      <c r="G915" s="5" t="inlineStr">
        <is>
          <t>how agricultural income is taxed in india</t>
        </is>
      </c>
      <c r="H915" s="5" t="inlineStr">
        <is>
          <t>partial integration method agricultural income, is agricultural income 100 percent tax free, agriculture tax formula</t>
        </is>
      </c>
      <c r="I915" s="5" t="inlineStr">
        <is>
          <t>Income Tax Calculator</t>
        </is>
      </c>
      <c r="J915" s="5" t="inlineStr">
        <is>
          <t>/finance/tax-calculator</t>
        </is>
      </c>
      <c r="K915" s="5" t="inlineStr">
        <is>
          <t>Explain why agricultural income is exempt under Section 10(1) but integrated into non-agricultural income to push non-farm earnings into higher tax slabs.</t>
        </is>
      </c>
      <c r="L915" s="4" t="inlineStr">
        <is>
          <t>YES</t>
        </is>
      </c>
      <c r="M915" s="4" t="inlineStr">
        <is>
          <t>MEDIUM</t>
        </is>
      </c>
      <c r="N915" s="4" t="inlineStr">
        <is>
          <t>READY</t>
        </is>
      </c>
      <c r="O915" s="5" t="inlineStr"/>
      <c r="P915" s="5" t="inlineStr"/>
      <c r="Q915" s="5" t="inlineStr"/>
      <c r="R915" s="5" t="inlineStr"/>
    </row>
    <row r="916" ht="20" customHeight="1">
      <c r="A916" s="2" t="inlineStr">
        <is>
          <t>ST915</t>
        </is>
      </c>
      <c r="B916" s="3" t="inlineStr">
        <is>
          <t>Tax on Crypto and Virtual Digital Assets (VDA) in India: The Flat 30% Rule</t>
        </is>
      </c>
      <c r="C916" s="2" t="inlineStr">
        <is>
          <t>Finance</t>
        </is>
      </c>
      <c r="D916" s="3" t="inlineStr">
        <is>
          <t>Income Tax</t>
        </is>
      </c>
      <c r="E916" s="2" t="inlineStr">
        <is>
          <t>Guide</t>
        </is>
      </c>
      <c r="F916" s="2" t="inlineStr">
        <is>
          <t>Reference</t>
        </is>
      </c>
      <c r="G916" s="3" t="inlineStr">
        <is>
          <t>crypto tax calculation in india</t>
        </is>
      </c>
      <c r="H916" s="3" t="inlineStr">
        <is>
          <t>30 percent flat tax on cryptocurrency, 1 percent tds on crypto transfer, no loss set off crypto tax</t>
        </is>
      </c>
      <c r="I916" s="3" t="inlineStr">
        <is>
          <t>Income Tax Calculator</t>
        </is>
      </c>
      <c r="J916" s="3" t="inlineStr">
        <is>
          <t>/finance/tax-calculator</t>
        </is>
      </c>
      <c r="K916" s="3" t="inlineStr">
        <is>
          <t>Detail Section 115BBH: flat 30% tax on net profits + 4% cess with zero expense deductions (except purchase cost) and total ban on setting off losses against other income.</t>
        </is>
      </c>
      <c r="L916" s="2" t="inlineStr">
        <is>
          <t>YES</t>
        </is>
      </c>
      <c r="M916" s="2" t="inlineStr">
        <is>
          <t>HIGH</t>
        </is>
      </c>
      <c r="N916" s="2" t="inlineStr">
        <is>
          <t>READY</t>
        </is>
      </c>
      <c r="O916" s="3" t="inlineStr"/>
      <c r="P916" s="3" t="inlineStr"/>
      <c r="Q916" s="3" t="inlineStr"/>
      <c r="R916" s="3" t="inlineStr"/>
    </row>
    <row r="917" ht="20" customHeight="1">
      <c r="A917" s="4" t="inlineStr">
        <is>
          <t>ST916</t>
        </is>
      </c>
      <c r="B917" s="5" t="inlineStr">
        <is>
          <t>How House Property Rental Income Is Taxed: 30% Standard Deduction and Municipal Taxes</t>
        </is>
      </c>
      <c r="C917" s="4" t="inlineStr">
        <is>
          <t>Finance</t>
        </is>
      </c>
      <c r="D917" s="5" t="inlineStr">
        <is>
          <t>Income Tax</t>
        </is>
      </c>
      <c r="E917" s="4" t="inlineStr">
        <is>
          <t>Formula Guide</t>
        </is>
      </c>
      <c r="F917" s="4" t="inlineStr">
        <is>
          <t>How-To</t>
        </is>
      </c>
      <c r="G917" s="5" t="inlineStr">
        <is>
          <t>how rental income is taxed in india</t>
        </is>
      </c>
      <c r="H917" s="5" t="inlineStr">
        <is>
          <t>section 24a standard deduction 30 percent, municipal tax deduction rental income, net annual value house property</t>
        </is>
      </c>
      <c r="I917" s="5" t="inlineStr">
        <is>
          <t>Income Tax Calculator</t>
        </is>
      </c>
      <c r="J917" s="5" t="inlineStr">
        <is>
          <t>/finance/tax-calculator</t>
        </is>
      </c>
      <c r="K917" s="5" t="inlineStr">
        <is>
          <t>Formula: Net Annual Value = Gross Rent - Municipal Taxes Paid. Taxable Rental Income = NAV - 30% Statutory Flat Deduction - Home Loan Interest.</t>
        </is>
      </c>
      <c r="L917" s="4" t="inlineStr">
        <is>
          <t>YES</t>
        </is>
      </c>
      <c r="M917" s="4" t="inlineStr">
        <is>
          <t>HIGH</t>
        </is>
      </c>
      <c r="N917" s="4" t="inlineStr">
        <is>
          <t>READY</t>
        </is>
      </c>
      <c r="O917" s="5" t="inlineStr"/>
      <c r="P917" s="5" t="inlineStr"/>
      <c r="Q917" s="5" t="inlineStr"/>
      <c r="R917" s="5" t="inlineStr"/>
    </row>
    <row r="918" ht="20" customHeight="1">
      <c r="A918" s="2" t="inlineStr">
        <is>
          <t>ST917</t>
        </is>
      </c>
      <c r="B918" s="3" t="inlineStr">
        <is>
          <t>What Is Section 194J vs Section 194C: TDS on Freelancers and Consultants</t>
        </is>
      </c>
      <c r="C918" s="2" t="inlineStr">
        <is>
          <t>Finance</t>
        </is>
      </c>
      <c r="D918" s="3" t="inlineStr">
        <is>
          <t>Income Tax</t>
        </is>
      </c>
      <c r="E918" s="2" t="inlineStr">
        <is>
          <t>Comparison</t>
        </is>
      </c>
      <c r="F918" s="2" t="inlineStr">
        <is>
          <t>Reference</t>
        </is>
      </c>
      <c r="G918" s="3" t="inlineStr">
        <is>
          <t>section 194j vs 194c tds difference</t>
        </is>
      </c>
      <c r="H918" s="3" t="inlineStr">
        <is>
          <t>10 percent vs 2 percent tds professional fees, freelancer tds deduction, claiming tds refund in itr</t>
        </is>
      </c>
      <c r="I918" s="3" t="inlineStr">
        <is>
          <t>Income Tax Calculator</t>
        </is>
      </c>
      <c r="J918" s="3" t="inlineStr">
        <is>
          <t>/finance/tax-calculator</t>
        </is>
      </c>
      <c r="K918" s="3" t="inlineStr">
        <is>
          <t>Compare Section 194J (10% TDS on professional/technical fees) with Section 194C (1-2% TDS on works contracts) and how to file ITR to reclaim excess deductions.</t>
        </is>
      </c>
      <c r="L918" s="2" t="inlineStr">
        <is>
          <t>YES</t>
        </is>
      </c>
      <c r="M918" s="2" t="inlineStr">
        <is>
          <t>HIGH</t>
        </is>
      </c>
      <c r="N918" s="2" t="inlineStr">
        <is>
          <t>READY</t>
        </is>
      </c>
      <c r="O918" s="3" t="inlineStr"/>
      <c r="P918" s="3" t="inlineStr"/>
      <c r="Q918" s="3" t="inlineStr"/>
      <c r="R918" s="3" t="inlineStr"/>
    </row>
    <row r="919" ht="20" customHeight="1">
      <c r="A919" s="4" t="inlineStr">
        <is>
          <t>ST918</t>
        </is>
      </c>
      <c r="B919" s="5" t="inlineStr">
        <is>
          <t>Section 44ADA Presumptive Taxation for Professionals: Paying Tax on Only 50% of Gross Receipts</t>
        </is>
      </c>
      <c r="C919" s="4" t="inlineStr">
        <is>
          <t>Finance</t>
        </is>
      </c>
      <c r="D919" s="5" t="inlineStr">
        <is>
          <t>Income Tax</t>
        </is>
      </c>
      <c r="E919" s="4" t="inlineStr">
        <is>
          <t>Guide</t>
        </is>
      </c>
      <c r="F919" s="4" t="inlineStr">
        <is>
          <t>Reference</t>
        </is>
      </c>
      <c r="G919" s="5" t="inlineStr">
        <is>
          <t>section 44ada presumptive taxation scheme</t>
        </is>
      </c>
      <c r="H919" s="5" t="inlineStr">
        <is>
          <t>44ada turnover limit 75 lakhs, paying tax on 50 percent income freelancers, presumptive tax professionals</t>
        </is>
      </c>
      <c r="I919" s="5" t="inlineStr">
        <is>
          <t>Income Tax Calculator</t>
        </is>
      </c>
      <c r="J919" s="5" t="inlineStr">
        <is>
          <t>/finance/tax-calculator</t>
        </is>
      </c>
      <c r="K919" s="5" t="inlineStr">
        <is>
          <t>Explain how software consultants, doctors, and lawyers earning up to Rs 75 Lakh can declare 50% as net taxable profit without maintaining detailed books of accounts.</t>
        </is>
      </c>
      <c r="L919" s="4" t="inlineStr">
        <is>
          <t>YES</t>
        </is>
      </c>
      <c r="M919" s="4" t="inlineStr">
        <is>
          <t>HIGH</t>
        </is>
      </c>
      <c r="N919" s="4" t="inlineStr">
        <is>
          <t>READY</t>
        </is>
      </c>
      <c r="O919" s="5" t="inlineStr"/>
      <c r="P919" s="5" t="inlineStr"/>
      <c r="Q919" s="5" t="inlineStr"/>
      <c r="R919" s="5" t="inlineStr"/>
    </row>
    <row r="920" ht="20" customHeight="1">
      <c r="A920" s="2" t="inlineStr">
        <is>
          <t>ST919</t>
        </is>
      </c>
      <c r="B920" s="3" t="inlineStr">
        <is>
          <t>Common Income Tax Deductions Often Missed: Section 80E (Education Loan Interest)</t>
        </is>
      </c>
      <c r="C920" s="2" t="inlineStr">
        <is>
          <t>Finance</t>
        </is>
      </c>
      <c r="D920" s="3" t="inlineStr">
        <is>
          <t>Income Tax</t>
        </is>
      </c>
      <c r="E920" s="2" t="inlineStr">
        <is>
          <t>Guide</t>
        </is>
      </c>
      <c r="F920" s="2" t="inlineStr">
        <is>
          <t>Reference</t>
        </is>
      </c>
      <c r="G920" s="3" t="inlineStr">
        <is>
          <t>section 80e education loan tax deduction</t>
        </is>
      </c>
      <c r="H920" s="3" t="inlineStr">
        <is>
          <t>tax exemption on student loan interest, 80e deduction limit, education loan interest tax benefit period</t>
        </is>
      </c>
      <c r="I920" s="3" t="inlineStr">
        <is>
          <t>Income Tax Calculator</t>
        </is>
      </c>
      <c r="J920" s="3" t="inlineStr">
        <is>
          <t>/finance/tax-calculator</t>
        </is>
      </c>
      <c r="K920" s="3" t="inlineStr">
        <is>
          <t>Highlight Section 80E: 100% deduction on interest paid on higher education loans with zero upper monetary cap for up to 8 continuous assessment years.</t>
        </is>
      </c>
      <c r="L920" s="2" t="inlineStr">
        <is>
          <t>YES</t>
        </is>
      </c>
      <c r="M920" s="2" t="inlineStr">
        <is>
          <t>HIGH</t>
        </is>
      </c>
      <c r="N920" s="2" t="inlineStr">
        <is>
          <t>READY</t>
        </is>
      </c>
      <c r="O920" s="3" t="inlineStr"/>
      <c r="P920" s="3" t="inlineStr"/>
      <c r="Q920" s="3" t="inlineStr"/>
      <c r="R920" s="3" t="inlineStr"/>
    </row>
    <row r="921" ht="20" customHeight="1">
      <c r="A921" s="4" t="inlineStr">
        <is>
          <t>ST920</t>
        </is>
      </c>
      <c r="B921" s="5" t="inlineStr">
        <is>
          <t>Summary Guide: The Salaried Taxpayer's Income Tax Checklist and Formula Reference</t>
        </is>
      </c>
      <c r="C921" s="4" t="inlineStr">
        <is>
          <t>Finance</t>
        </is>
      </c>
      <c r="D921" s="5" t="inlineStr">
        <is>
          <t>Income Tax</t>
        </is>
      </c>
      <c r="E921" s="4" t="inlineStr">
        <is>
          <t>Formula Guide</t>
        </is>
      </c>
      <c r="F921" s="4" t="inlineStr">
        <is>
          <t>Reference</t>
        </is>
      </c>
      <c r="G921" s="5" t="inlineStr">
        <is>
          <t>income tax formulas and checklist summary</t>
        </is>
      </c>
      <c r="H921" s="5" t="inlineStr">
        <is>
          <t>all income tax formulas cheat sheet, new vs old regime comparison summary, tax deduction reference sheet</t>
        </is>
      </c>
      <c r="I921" s="5" t="inlineStr">
        <is>
          <t>Income Tax Calculator</t>
        </is>
      </c>
      <c r="J921" s="5" t="inlineStr">
        <is>
          <t>/finance/tax-calculator</t>
        </is>
      </c>
      <c r="K921" s="5" t="inlineStr">
        <is>
          <t>Consolidated reference sheet detailing tax slabs, Standard Deduction, Section 87A rebate math, 80C/80D/80CCD limits, and capital gains tax rates.</t>
        </is>
      </c>
      <c r="L921" s="4" t="inlineStr">
        <is>
          <t>YES</t>
        </is>
      </c>
      <c r="M921" s="4" t="inlineStr">
        <is>
          <t>HIGH</t>
        </is>
      </c>
      <c r="N921" s="4" t="inlineStr">
        <is>
          <t>READY</t>
        </is>
      </c>
      <c r="O921" s="5" t="inlineStr"/>
      <c r="P921" s="5" t="inlineStr"/>
      <c r="Q921" s="5" t="inlineStr"/>
      <c r="R921" s="5" t="inlineStr"/>
    </row>
    <row r="922" ht="20" customHeight="1">
      <c r="A922" s="2" t="inlineStr">
        <is>
          <t>ST921</t>
        </is>
      </c>
      <c r="B922" s="3" t="inlineStr">
        <is>
          <t>How Advance Tax Works for Freelancers and Salaried Individuals with Capital Gains</t>
        </is>
      </c>
      <c r="C922" s="2" t="inlineStr">
        <is>
          <t>Finance</t>
        </is>
      </c>
      <c r="D922" s="3" t="inlineStr">
        <is>
          <t>Income Tax</t>
        </is>
      </c>
      <c r="E922" s="2" t="inlineStr">
        <is>
          <t>Guide</t>
        </is>
      </c>
      <c r="F922" s="2" t="inlineStr">
        <is>
          <t>How-To</t>
        </is>
      </c>
      <c r="G922" s="3" t="inlineStr">
        <is>
          <t>how to pay advance tax online challan 280</t>
        </is>
      </c>
      <c r="H922" s="3" t="inlineStr">
        <is>
          <t>challan 280 online payment, advance tax interest avoidance, freelance tax payment dates</t>
        </is>
      </c>
      <c r="I922" s="3" t="inlineStr">
        <is>
          <t>Income Tax Calculator</t>
        </is>
      </c>
      <c r="J922" s="3" t="inlineStr">
        <is>
          <t>/finance/tax-calculator</t>
        </is>
      </c>
      <c r="K922" s="3" t="inlineStr">
        <is>
          <t>Step-by-step walkthrough of paying advance tax using the e-Filing portal, selecting Minor Head 100, and matching quarterly payment installments.</t>
        </is>
      </c>
      <c r="L922" s="2" t="inlineStr">
        <is>
          <t>YES</t>
        </is>
      </c>
      <c r="M922" s="2" t="inlineStr">
        <is>
          <t>HIGH</t>
        </is>
      </c>
      <c r="N922" s="2" t="inlineStr">
        <is>
          <t>READY</t>
        </is>
      </c>
      <c r="O922" s="3" t="inlineStr"/>
      <c r="P922" s="3" t="inlineStr"/>
      <c r="Q922" s="3" t="inlineStr"/>
      <c r="R922" s="3" t="inlineStr"/>
    </row>
    <row r="923" ht="20" customHeight="1">
      <c r="A923" s="4" t="inlineStr">
        <is>
          <t>ST922</t>
        </is>
      </c>
      <c r="B923" s="5" t="inlineStr">
        <is>
          <t>What Is the Rule of 72 in Personal Finance: Doubling Your Money Math</t>
        </is>
      </c>
      <c r="C923" s="4" t="inlineStr">
        <is>
          <t>Finance</t>
        </is>
      </c>
      <c r="D923" s="5" t="inlineStr">
        <is>
          <t>Income Tax</t>
        </is>
      </c>
      <c r="E923" s="4" t="inlineStr">
        <is>
          <t>Formula Guide</t>
        </is>
      </c>
      <c r="F923" s="4" t="inlineStr">
        <is>
          <t>Educational</t>
        </is>
      </c>
      <c r="G923" s="5" t="inlineStr">
        <is>
          <t>rule of 72 formula double money</t>
        </is>
      </c>
      <c r="H923" s="5" t="inlineStr">
        <is>
          <t>how fast will money double, rule of 72 examples, estimating investment growth rate</t>
        </is>
      </c>
      <c r="I923" s="5" t="inlineStr">
        <is>
          <t>SIP Calculator</t>
        </is>
      </c>
      <c r="J923" s="5" t="inlineStr">
        <is>
          <t>/finance/sip-calculator</t>
        </is>
      </c>
      <c r="K923" s="5" t="inlineStr">
        <is>
          <t>Explain the mental math rule: Years to Double = 72 / Annual Interest Rate. Show worked examples for 6% FD (12 years), 12% mutual fund (6 years), and 15% equity (4.8 years).</t>
        </is>
      </c>
      <c r="L923" s="4" t="inlineStr">
        <is>
          <t>YES</t>
        </is>
      </c>
      <c r="M923" s="4" t="inlineStr">
        <is>
          <t>HIGH</t>
        </is>
      </c>
      <c r="N923" s="4" t="inlineStr">
        <is>
          <t>READY</t>
        </is>
      </c>
      <c r="O923" s="5" t="inlineStr"/>
      <c r="P923" s="5" t="inlineStr"/>
      <c r="Q923" s="5" t="inlineStr"/>
      <c r="R923" s="5" t="inlineStr"/>
    </row>
    <row r="924" ht="20" customHeight="1">
      <c r="A924" s="2" t="inlineStr">
        <is>
          <t>ST923</t>
        </is>
      </c>
      <c r="B924" s="3" t="inlineStr">
        <is>
          <t>The Rule of 114 and Rule of 144: Tripling and Quadrupling Your Wealth</t>
        </is>
      </c>
      <c r="C924" s="2" t="inlineStr">
        <is>
          <t>Finance</t>
        </is>
      </c>
      <c r="D924" s="3" t="inlineStr">
        <is>
          <t>Income Tax</t>
        </is>
      </c>
      <c r="E924" s="2" t="inlineStr">
        <is>
          <t>Formula Guide</t>
        </is>
      </c>
      <c r="F924" s="2" t="inlineStr">
        <is>
          <t>Educational</t>
        </is>
      </c>
      <c r="G924" s="3" t="inlineStr">
        <is>
          <t>rule of 114 and 144 personal finance</t>
        </is>
      </c>
      <c r="H924" s="3" t="inlineStr">
        <is>
          <t>how to calculate years to triple money, quadrupling investment formula, compound interest shortcuts</t>
        </is>
      </c>
      <c r="I924" s="3" t="inlineStr">
        <is>
          <t>SIP Calculator</t>
        </is>
      </c>
      <c r="J924" s="3" t="inlineStr">
        <is>
          <t>/finance/sip-calculator</t>
        </is>
      </c>
      <c r="K924" s="3" t="inlineStr">
        <is>
          <t>Explain Rule of 114 (Years to triple = 114 / r) and Rule of 144 (Years to quadruple = 144 / r), providing instant mental math benchmarks for long-term investors.</t>
        </is>
      </c>
      <c r="L924" s="2" t="inlineStr">
        <is>
          <t>YES</t>
        </is>
      </c>
      <c r="M924" s="2" t="inlineStr">
        <is>
          <t>MEDIUM</t>
        </is>
      </c>
      <c r="N924" s="2" t="inlineStr">
        <is>
          <t>READY</t>
        </is>
      </c>
      <c r="O924" s="3" t="inlineStr"/>
      <c r="P924" s="3" t="inlineStr"/>
      <c r="Q924" s="3" t="inlineStr"/>
      <c r="R924" s="3" t="inlineStr"/>
    </row>
    <row r="925" ht="20" customHeight="1">
      <c r="A925" s="4" t="inlineStr">
        <is>
          <t>ST924</t>
        </is>
      </c>
      <c r="B925" s="5" t="inlineStr">
        <is>
          <t>How to Calculate True Cost of Loan: APR (Annual Percentage Rate) vs Advertised Interest</t>
        </is>
      </c>
      <c r="C925" s="4" t="inlineStr">
        <is>
          <t>Finance</t>
        </is>
      </c>
      <c r="D925" s="5" t="inlineStr">
        <is>
          <t>Income Tax</t>
        </is>
      </c>
      <c r="E925" s="4" t="inlineStr">
        <is>
          <t>Formula Guide</t>
        </is>
      </c>
      <c r="F925" s="4" t="inlineStr">
        <is>
          <t>How-To</t>
        </is>
      </c>
      <c r="G925" s="5" t="inlineStr">
        <is>
          <t>apr vs interest rate loan</t>
        </is>
      </c>
      <c r="H925" s="5" t="inlineStr">
        <is>
          <t>how to calculate annual percentage rate, total cost of credit formula, true borrowing rate</t>
        </is>
      </c>
      <c r="I925" s="5" t="inlineStr">
        <is>
          <t>EMI Calculator</t>
        </is>
      </c>
      <c r="J925" s="5" t="inlineStr">
        <is>
          <t>/finance/emi-calculator</t>
        </is>
      </c>
      <c r="K925" s="5" t="inlineStr">
        <is>
          <t>Explain APR: factoring in processing fees, documentation charges, and mandatory insurance into the effective annualized cost of borrowing.</t>
        </is>
      </c>
      <c r="L925" s="4" t="inlineStr">
        <is>
          <t>YES</t>
        </is>
      </c>
      <c r="M925" s="4" t="inlineStr">
        <is>
          <t>HIGH</t>
        </is>
      </c>
      <c r="N925" s="4" t="inlineStr">
        <is>
          <t>READY</t>
        </is>
      </c>
      <c r="O925" s="5" t="inlineStr"/>
      <c r="P925" s="5" t="inlineStr"/>
      <c r="Q925" s="5" t="inlineStr"/>
      <c r="R925" s="5" t="inlineStr"/>
    </row>
    <row r="926" ht="20" customHeight="1">
      <c r="A926" s="2" t="inlineStr">
        <is>
          <t>ST925</t>
        </is>
      </c>
      <c r="B926" s="3" t="inlineStr">
        <is>
          <t>Balloon Payment Loans vs Traditional Amortization: How Bullet Repayment Works</t>
        </is>
      </c>
      <c r="C926" s="2" t="inlineStr">
        <is>
          <t>Finance</t>
        </is>
      </c>
      <c r="D926" s="3" t="inlineStr">
        <is>
          <t>Income Tax</t>
        </is>
      </c>
      <c r="E926" s="2" t="inlineStr">
        <is>
          <t>Comparison</t>
        </is>
      </c>
      <c r="F926" s="2" t="inlineStr">
        <is>
          <t>Educational</t>
        </is>
      </c>
      <c r="G926" s="3" t="inlineStr">
        <is>
          <t>balloon payment loan vs regular emi</t>
        </is>
      </c>
      <c r="H926" s="3" t="inlineStr">
        <is>
          <t>bullet repayment loan meaning, balloon payment risks, vehicle loan balloon structure</t>
        </is>
      </c>
      <c r="I926" s="3" t="inlineStr">
        <is>
          <t>EMI Calculator</t>
        </is>
      </c>
      <c r="J926" s="3" t="inlineStr">
        <is>
          <t>/finance/emi-calculator</t>
        </is>
      </c>
      <c r="K926" s="3" t="inlineStr">
        <is>
          <t>Compare low monthly installments with a massive lump-sum balloon payment at loan maturity, highlighting refinancing risks and interest cost.</t>
        </is>
      </c>
      <c r="L926" s="2" t="inlineStr">
        <is>
          <t>YES</t>
        </is>
      </c>
      <c r="M926" s="2" t="inlineStr">
        <is>
          <t>MEDIUM</t>
        </is>
      </c>
      <c r="N926" s="2" t="inlineStr">
        <is>
          <t>READY</t>
        </is>
      </c>
      <c r="O926" s="3" t="inlineStr"/>
      <c r="P926" s="3" t="inlineStr"/>
      <c r="Q926" s="3" t="inlineStr"/>
      <c r="R926" s="3" t="inlineStr"/>
    </row>
    <row r="927" ht="20" customHeight="1">
      <c r="A927" s="4" t="inlineStr">
        <is>
          <t>ST926</t>
        </is>
      </c>
      <c r="B927" s="5" t="inlineStr">
        <is>
          <t>How Chronological Age Is Calculated: Step-by-Step Years, Months, and Days Math</t>
        </is>
      </c>
      <c r="C927" s="4" t="inlineStr">
        <is>
          <t>General</t>
        </is>
      </c>
      <c r="D927" s="5" t="inlineStr">
        <is>
          <t>Age</t>
        </is>
      </c>
      <c r="E927" s="4" t="inlineStr">
        <is>
          <t>Formula Guide</t>
        </is>
      </c>
      <c r="F927" s="4" t="inlineStr">
        <is>
          <t>How-To</t>
        </is>
      </c>
      <c r="G927" s="5" t="inlineStr">
        <is>
          <t>how chronological age is calculated</t>
        </is>
      </c>
      <c r="H927" s="5" t="inlineStr">
        <is>
          <t>chronological age formula, calculate exact age in years months days, dob to current age math</t>
        </is>
      </c>
      <c r="I927" s="5" t="inlineStr">
        <is>
          <t>Age Calculator</t>
        </is>
      </c>
      <c r="J927" s="5" t="inlineStr">
        <is>
          <t>/calculators/age</t>
        </is>
      </c>
      <c r="K927" s="5" t="inlineStr">
        <is>
          <t>Explain day, month, and year borrowing rules: borrowing 30 or 31 days depending on previous month length, and borrowing 12 months when current month is less than birth month.</t>
        </is>
      </c>
      <c r="L927" s="4" t="inlineStr">
        <is>
          <t>YES</t>
        </is>
      </c>
      <c r="M927" s="4" t="inlineStr">
        <is>
          <t>HIGH</t>
        </is>
      </c>
      <c r="N927" s="4" t="inlineStr">
        <is>
          <t>READY</t>
        </is>
      </c>
      <c r="O927" s="5" t="inlineStr"/>
      <c r="P927" s="5" t="inlineStr"/>
      <c r="Q927" s="5" t="inlineStr"/>
      <c r="R927" s="5" t="inlineStr"/>
    </row>
    <row r="928" ht="20" customHeight="1">
      <c r="A928" s="2" t="inlineStr">
        <is>
          <t>ST927</t>
        </is>
      </c>
      <c r="B928" s="3" t="inlineStr">
        <is>
          <t>How to Calculate Exact Age as of a Specific Cutoff Date for Government Exams (UPSC, SSC, IBPS)</t>
        </is>
      </c>
      <c r="C928" s="2" t="inlineStr">
        <is>
          <t>General</t>
        </is>
      </c>
      <c r="D928" s="3" t="inlineStr">
        <is>
          <t>Age</t>
        </is>
      </c>
      <c r="E928" s="2" t="inlineStr">
        <is>
          <t>Guide</t>
        </is>
      </c>
      <c r="F928" s="2" t="inlineStr">
        <is>
          <t>How-To</t>
        </is>
      </c>
      <c r="G928" s="3" t="inlineStr">
        <is>
          <t>how to calculate age on cutoff date for exam</t>
        </is>
      </c>
      <c r="H928" s="3" t="inlineStr">
        <is>
          <t>upsc age eligibility calculation, ssc age calculator cutoff date, determining age on 1st august</t>
        </is>
      </c>
      <c r="I928" s="3" t="inlineStr">
        <is>
          <t>Age Calculator</t>
        </is>
      </c>
      <c r="J928" s="3" t="inlineStr">
        <is>
          <t>/calculators/age</t>
        </is>
      </c>
      <c r="K928" s="3" t="inlineStr">
        <is>
          <t>Guide aspirants on determining eligibility as of official cutoff dates (e.g., August 1st for UPSC Civil Services), accounting for leap years and age relaxation rules.</t>
        </is>
      </c>
      <c r="L928" s="2" t="inlineStr">
        <is>
          <t>YES</t>
        </is>
      </c>
      <c r="M928" s="2" t="inlineStr">
        <is>
          <t>HIGH</t>
        </is>
      </c>
      <c r="N928" s="2" t="inlineStr">
        <is>
          <t>READY</t>
        </is>
      </c>
      <c r="O928" s="3" t="inlineStr"/>
      <c r="P928" s="3" t="inlineStr"/>
      <c r="Q928" s="3" t="inlineStr"/>
      <c r="R928" s="3" t="inlineStr"/>
    </row>
    <row r="929" ht="20" customHeight="1">
      <c r="A929" s="4" t="inlineStr">
        <is>
          <t>ST928</t>
        </is>
      </c>
      <c r="B929" s="5" t="inlineStr">
        <is>
          <t>How Leap Years Affect Exact Age and Total Days Lived Calculations</t>
        </is>
      </c>
      <c r="C929" s="4" t="inlineStr">
        <is>
          <t>General</t>
        </is>
      </c>
      <c r="D929" s="5" t="inlineStr">
        <is>
          <t>Age</t>
        </is>
      </c>
      <c r="E929" s="4" t="inlineStr">
        <is>
          <t>Explanation</t>
        </is>
      </c>
      <c r="F929" s="4" t="inlineStr">
        <is>
          <t>Educational</t>
        </is>
      </c>
      <c r="G929" s="5" t="inlineStr">
        <is>
          <t>how leap years affect age calculation</t>
        </is>
      </c>
      <c r="H929" s="5" t="inlineStr">
        <is>
          <t>leap day birthday age calculation, 365 vs 366 days age math, leap year born age</t>
        </is>
      </c>
      <c r="I929" s="5" t="inlineStr">
        <is>
          <t>Age Calculator</t>
        </is>
      </c>
      <c r="J929" s="5" t="inlineStr">
        <is>
          <t>/calculators/age</t>
        </is>
      </c>
      <c r="K929" s="5" t="inlineStr">
        <is>
          <t>Explain the Gregorian leap year rule (divisible by 4, except century years unless divisible by 400), and how February 29 birthdays are evaluated legally and chronologically.</t>
        </is>
      </c>
      <c r="L929" s="4" t="inlineStr">
        <is>
          <t>YES</t>
        </is>
      </c>
      <c r="M929" s="4" t="inlineStr">
        <is>
          <t>MEDIUM</t>
        </is>
      </c>
      <c r="N929" s="4" t="inlineStr">
        <is>
          <t>READY</t>
        </is>
      </c>
      <c r="O929" s="5" t="inlineStr"/>
      <c r="P929" s="5" t="inlineStr"/>
      <c r="Q929" s="5" t="inlineStr"/>
      <c r="R929" s="5" t="inlineStr"/>
    </row>
    <row r="930" ht="20" customHeight="1">
      <c r="A930" s="2" t="inlineStr">
        <is>
          <t>ST929</t>
        </is>
      </c>
      <c r="B930" s="3" t="inlineStr">
        <is>
          <t>How to Calculate Total Days, Hours, and Minutes You Have Lived</t>
        </is>
      </c>
      <c r="C930" s="2" t="inlineStr">
        <is>
          <t>General</t>
        </is>
      </c>
      <c r="D930" s="3" t="inlineStr">
        <is>
          <t>Age</t>
        </is>
      </c>
      <c r="E930" s="2" t="inlineStr">
        <is>
          <t>How-To</t>
        </is>
      </c>
      <c r="F930" s="2" t="inlineStr">
        <is>
          <t>How-To</t>
        </is>
      </c>
      <c r="G930" s="3" t="inlineStr">
        <is>
          <t>how many days have i lived</t>
        </is>
      </c>
      <c r="H930" s="3" t="inlineStr">
        <is>
          <t>calculate total days lived, convert age into hours and minutes, date of birth to total days</t>
        </is>
      </c>
      <c r="I930" s="3" t="inlineStr">
        <is>
          <t>Age Calculator</t>
        </is>
      </c>
      <c r="J930" s="3" t="inlineStr">
        <is>
          <t>/calculators/age</t>
        </is>
      </c>
      <c r="K930" s="3" t="inlineStr">
        <is>
          <t>Provide mathematical conversion steps: multiplying complete years by 365.25, adding elapsed days, and multiplying by 24 for hours and 1,440 for minutes.</t>
        </is>
      </c>
      <c r="L930" s="2" t="inlineStr">
        <is>
          <t>YES</t>
        </is>
      </c>
      <c r="M930" s="2" t="inlineStr">
        <is>
          <t>HIGH</t>
        </is>
      </c>
      <c r="N930" s="2" t="inlineStr">
        <is>
          <t>READY</t>
        </is>
      </c>
      <c r="O930" s="3" t="inlineStr"/>
      <c r="P930" s="3" t="inlineStr"/>
      <c r="Q930" s="3" t="inlineStr"/>
      <c r="R930" s="3" t="inlineStr"/>
    </row>
    <row r="931" ht="20" customHeight="1">
      <c r="A931" s="4" t="inlineStr">
        <is>
          <t>ST930</t>
        </is>
      </c>
      <c r="B931" s="5" t="inlineStr">
        <is>
          <t>Calculating Next Birthday Countdown: Exact Days and Day of the Week</t>
        </is>
      </c>
      <c r="C931" s="4" t="inlineStr">
        <is>
          <t>General</t>
        </is>
      </c>
      <c r="D931" s="5" t="inlineStr">
        <is>
          <t>Age</t>
        </is>
      </c>
      <c r="E931" s="4" t="inlineStr">
        <is>
          <t>How-To</t>
        </is>
      </c>
      <c r="F931" s="4" t="inlineStr">
        <is>
          <t>How-To</t>
        </is>
      </c>
      <c r="G931" s="5" t="inlineStr">
        <is>
          <t>how to calculate days until next birthday</t>
        </is>
      </c>
      <c r="H931" s="5" t="inlineStr">
        <is>
          <t>next birthday countdown formula, find what day of week was born, birthday countdown math</t>
        </is>
      </c>
      <c r="I931" s="5" t="inlineStr">
        <is>
          <t>Age Calculator</t>
        </is>
      </c>
      <c r="J931" s="5" t="inlineStr">
        <is>
          <t>/calculators/age</t>
        </is>
      </c>
      <c r="K931" s="5" t="inlineStr">
        <is>
          <t>Explain Zeller's congruence algorithm to find the day of the week you were born, and forward-date difference math to compute days remaining until your next birthday.</t>
        </is>
      </c>
      <c r="L931" s="4" t="inlineStr">
        <is>
          <t>YES</t>
        </is>
      </c>
      <c r="M931" s="4" t="inlineStr">
        <is>
          <t>HIGH</t>
        </is>
      </c>
      <c r="N931" s="4" t="inlineStr">
        <is>
          <t>READY</t>
        </is>
      </c>
      <c r="O931" s="5" t="inlineStr"/>
      <c r="P931" s="5" t="inlineStr"/>
      <c r="Q931" s="5" t="inlineStr"/>
      <c r="R931" s="5" t="inlineStr"/>
    </row>
    <row r="932" ht="20" customHeight="1">
      <c r="A932" s="2" t="inlineStr">
        <is>
          <t>ST931</t>
        </is>
      </c>
      <c r="B932" s="3" t="inlineStr">
        <is>
          <t>Age Relaxation Rules in Indian Competitive Exams: SC, ST, OBC, EWS, and PwD Slabs</t>
        </is>
      </c>
      <c r="C932" s="2" t="inlineStr">
        <is>
          <t>General</t>
        </is>
      </c>
      <c r="D932" s="3" t="inlineStr">
        <is>
          <t>Age</t>
        </is>
      </c>
      <c r="E932" s="2" t="inlineStr">
        <is>
          <t>Guide</t>
        </is>
      </c>
      <c r="F932" s="2" t="inlineStr">
        <is>
          <t>Reference</t>
        </is>
      </c>
      <c r="G932" s="3" t="inlineStr">
        <is>
          <t>age relaxation for competitive exams in india</t>
        </is>
      </c>
      <c r="H932" s="3" t="inlineStr">
        <is>
          <t>obc 3 years age relaxation, sc st 5 years age limit, government job upper age limit relaxation</t>
        </is>
      </c>
      <c r="I932" s="3" t="inlineStr">
        <is>
          <t>Age Calculator</t>
        </is>
      </c>
      <c r="J932" s="3" t="inlineStr">
        <is>
          <t>/calculators/age</t>
        </is>
      </c>
      <c r="K932" s="3" t="inlineStr">
        <is>
          <t>Detail statutory age extensions: +3 years for OBC-NCL, +5 years for SC/ST, +10 years for PwD, and how to verify if your exact birthdate falls within relaxed windows.</t>
        </is>
      </c>
      <c r="L932" s="2" t="inlineStr">
        <is>
          <t>YES</t>
        </is>
      </c>
      <c r="M932" s="2" t="inlineStr">
        <is>
          <t>HIGH</t>
        </is>
      </c>
      <c r="N932" s="2" t="inlineStr">
        <is>
          <t>READY</t>
        </is>
      </c>
      <c r="O932" s="3" t="inlineStr"/>
      <c r="P932" s="3" t="inlineStr"/>
      <c r="Q932" s="3" t="inlineStr"/>
      <c r="R932" s="3" t="inlineStr"/>
    </row>
    <row r="933" ht="20" customHeight="1">
      <c r="A933" s="4" t="inlineStr">
        <is>
          <t>ST932</t>
        </is>
      </c>
      <c r="B933" s="5" t="inlineStr">
        <is>
          <t>How School Admission Minimum Age Criteria Works Under National Education Policy (NEP 2020)</t>
        </is>
      </c>
      <c r="C933" s="4" t="inlineStr">
        <is>
          <t>General</t>
        </is>
      </c>
      <c r="D933" s="5" t="inlineStr">
        <is>
          <t>Age</t>
        </is>
      </c>
      <c r="E933" s="4" t="inlineStr">
        <is>
          <t>Guide</t>
        </is>
      </c>
      <c r="F933" s="4" t="inlineStr">
        <is>
          <t>Reference</t>
        </is>
      </c>
      <c r="G933" s="5" t="inlineStr">
        <is>
          <t>minimum age for class 1 admission nep 2020</t>
        </is>
      </c>
      <c r="H933" s="5" t="inlineStr">
        <is>
          <t>6 years age rule for class 1, cbse school admission age calculation, lkg ukg age criteria</t>
        </is>
      </c>
      <c r="I933" s="5" t="inlineStr">
        <is>
          <t>Age Calculator</t>
        </is>
      </c>
      <c r="J933" s="5" t="inlineStr">
        <is>
          <t>/calculators/age</t>
        </is>
      </c>
      <c r="K933" s="5" t="inlineStr">
        <is>
          <t>Explain the mandatory 6-year minimum age rule for Class 1 as of March 31 or June 1, helping parents calculate exact nursery and primary school admission eligibility.</t>
        </is>
      </c>
      <c r="L933" s="4" t="inlineStr">
        <is>
          <t>YES</t>
        </is>
      </c>
      <c r="M933" s="4" t="inlineStr">
        <is>
          <t>HIGH</t>
        </is>
      </c>
      <c r="N933" s="4" t="inlineStr">
        <is>
          <t>READY</t>
        </is>
      </c>
      <c r="O933" s="5" t="inlineStr"/>
      <c r="P933" s="5" t="inlineStr"/>
      <c r="Q933" s="5" t="inlineStr"/>
      <c r="R933" s="5" t="inlineStr"/>
    </row>
    <row r="934" ht="20" customHeight="1">
      <c r="A934" s="2" t="inlineStr">
        <is>
          <t>ST933</t>
        </is>
      </c>
      <c r="B934" s="3" t="inlineStr">
        <is>
          <t>Why Subtracting Birth Year from Current Year Gives an Inaccurate Age Most of the Year</t>
        </is>
      </c>
      <c r="C934" s="2" t="inlineStr">
        <is>
          <t>General</t>
        </is>
      </c>
      <c r="D934" s="3" t="inlineStr">
        <is>
          <t>Age</t>
        </is>
      </c>
      <c r="E934" s="2" t="inlineStr">
        <is>
          <t>Explanation</t>
        </is>
      </c>
      <c r="F934" s="2" t="inlineStr">
        <is>
          <t>Educational</t>
        </is>
      </c>
      <c r="G934" s="3" t="inlineStr">
        <is>
          <t>why current year minus birth year is inaccurate</t>
        </is>
      </c>
      <c r="H934" s="3" t="inlineStr">
        <is>
          <t>common age calculation mistake, accurate age vs simple subtraction, birthday not yet reached</t>
        </is>
      </c>
      <c r="I934" s="3" t="inlineStr">
        <is>
          <t>Age Calculator</t>
        </is>
      </c>
      <c r="J934" s="3" t="inlineStr">
        <is>
          <t>/calculators/age</t>
        </is>
      </c>
      <c r="K934" s="3" t="inlineStr">
        <is>
          <t>Explain birthday logic: if your birthday hasn't occurred yet in the current calendar year, simple year subtraction overstates your true chronological age by 1 year.</t>
        </is>
      </c>
      <c r="L934" s="2" t="inlineStr">
        <is>
          <t>YES</t>
        </is>
      </c>
      <c r="M934" s="2" t="inlineStr">
        <is>
          <t>HIGH</t>
        </is>
      </c>
      <c r="N934" s="2" t="inlineStr">
        <is>
          <t>READY</t>
        </is>
      </c>
      <c r="O934" s="3" t="inlineStr"/>
      <c r="P934" s="3" t="inlineStr"/>
      <c r="Q934" s="3" t="inlineStr"/>
      <c r="R934" s="3" t="inlineStr"/>
    </row>
    <row r="935" ht="20" customHeight="1">
      <c r="A935" s="4" t="inlineStr">
        <is>
          <t>ST934</t>
        </is>
      </c>
      <c r="B935" s="5" t="inlineStr">
        <is>
          <t>How Half-Birthday (6-Month Milestone) Is Calculated Across Different Month Lengths</t>
        </is>
      </c>
      <c r="C935" s="4" t="inlineStr">
        <is>
          <t>General</t>
        </is>
      </c>
      <c r="D935" s="5" t="inlineStr">
        <is>
          <t>Age</t>
        </is>
      </c>
      <c r="E935" s="4" t="inlineStr">
        <is>
          <t>Formula Guide</t>
        </is>
      </c>
      <c r="F935" s="4" t="inlineStr">
        <is>
          <t>How-To</t>
        </is>
      </c>
      <c r="G935" s="5" t="inlineStr">
        <is>
          <t>how to calculate half birthday date</t>
        </is>
      </c>
      <c r="H935" s="5" t="inlineStr">
        <is>
          <t>exact half birthday calculation, 6 months from birth date, half birthday math</t>
        </is>
      </c>
      <c r="I935" s="5" t="inlineStr">
        <is>
          <t>Age Calculator</t>
        </is>
      </c>
      <c r="J935" s="5" t="inlineStr">
        <is>
          <t>/calculators/age</t>
        </is>
      </c>
      <c r="K935" s="5" t="inlineStr">
        <is>
          <t>Detail day-shifting math: adding 6 months and adjusting for months with 28, 30, or 31 days (e.g. August 31 half-birthday landing in late February).</t>
        </is>
      </c>
      <c r="L935" s="4" t="inlineStr">
        <is>
          <t>YES</t>
        </is>
      </c>
      <c r="M935" s="4" t="inlineStr">
        <is>
          <t>LOW</t>
        </is>
      </c>
      <c r="N935" s="4" t="inlineStr">
        <is>
          <t>READY</t>
        </is>
      </c>
      <c r="O935" s="5" t="inlineStr"/>
      <c r="P935" s="5" t="inlineStr"/>
      <c r="Q935" s="5" t="inlineStr"/>
      <c r="R935" s="5" t="inlineStr"/>
    </row>
    <row r="936" ht="20" customHeight="1">
      <c r="A936" s="2" t="inlineStr">
        <is>
          <t>ST935</t>
        </is>
      </c>
      <c r="B936" s="3" t="inlineStr">
        <is>
          <t>How Chronological Age Differs from Biological and Gestational Age in Pediatrics</t>
        </is>
      </c>
      <c r="C936" s="2" t="inlineStr">
        <is>
          <t>General</t>
        </is>
      </c>
      <c r="D936" s="3" t="inlineStr">
        <is>
          <t>Age</t>
        </is>
      </c>
      <c r="E936" s="2" t="inlineStr">
        <is>
          <t>Comparison</t>
        </is>
      </c>
      <c r="F936" s="2" t="inlineStr">
        <is>
          <t>Educational</t>
        </is>
      </c>
      <c r="G936" s="3" t="inlineStr">
        <is>
          <t>chronological vs gestational age</t>
        </is>
      </c>
      <c r="H936" s="3" t="inlineStr">
        <is>
          <t>corrected age for premature babies formula, biological vs chronological age, pediatric age calculation</t>
        </is>
      </c>
      <c r="I936" s="3" t="inlineStr">
        <is>
          <t>Age Calculator</t>
        </is>
      </c>
      <c r="J936" s="3" t="inlineStr">
        <is>
          <t>/calculators/age</t>
        </is>
      </c>
      <c r="K936" s="3" t="inlineStr">
        <is>
          <t>Explain corrected age formulas for premature infants: Corrected Age = Chronological Age - Weeks of Prematurity, tracking developmental milestones accurately.</t>
        </is>
      </c>
      <c r="L936" s="2" t="inlineStr">
        <is>
          <t>YES</t>
        </is>
      </c>
      <c r="M936" s="2" t="inlineStr">
        <is>
          <t>MEDIUM</t>
        </is>
      </c>
      <c r="N936" s="2" t="inlineStr">
        <is>
          <t>READY</t>
        </is>
      </c>
      <c r="O936" s="3" t="inlineStr"/>
      <c r="P936" s="3" t="inlineStr"/>
      <c r="Q936" s="3" t="inlineStr"/>
      <c r="R936" s="3" t="inlineStr"/>
    </row>
    <row r="937" ht="20" customHeight="1">
      <c r="A937" s="4" t="inlineStr">
        <is>
          <t>ST936</t>
        </is>
      </c>
      <c r="B937" s="5" t="inlineStr">
        <is>
          <t>Age Calculation for Driving License in India: The 16 vs 18 Years Rule</t>
        </is>
      </c>
      <c r="C937" s="4" t="inlineStr">
        <is>
          <t>General</t>
        </is>
      </c>
      <c r="D937" s="5" t="inlineStr">
        <is>
          <t>Age</t>
        </is>
      </c>
      <c r="E937" s="4" t="inlineStr">
        <is>
          <t>Guide</t>
        </is>
      </c>
      <c r="F937" s="4" t="inlineStr">
        <is>
          <t>Reference</t>
        </is>
      </c>
      <c r="G937" s="5" t="inlineStr">
        <is>
          <t>minimum age for driving license in india</t>
        </is>
      </c>
      <c r="H937" s="5" t="inlineStr">
        <is>
          <t>16 years gearless scooter license, 18 years commercial license age, rto age eligibility calculation</t>
        </is>
      </c>
      <c r="I937" s="5" t="inlineStr">
        <is>
          <t>Age Calculator</t>
        </is>
      </c>
      <c r="J937" s="5" t="inlineStr">
        <is>
          <t>/calculators/age</t>
        </is>
      </c>
      <c r="K937" s="5" t="inlineStr">
        <is>
          <t>Explain Motor Vehicles Act rules: 16 years for gearless 50cc scooters, 18 years for private cars/bikes, and 20 years for commercial transport vehicles.</t>
        </is>
      </c>
      <c r="L937" s="4" t="inlineStr">
        <is>
          <t>YES</t>
        </is>
      </c>
      <c r="M937" s="4" t="inlineStr">
        <is>
          <t>HIGH</t>
        </is>
      </c>
      <c r="N937" s="4" t="inlineStr">
        <is>
          <t>READY</t>
        </is>
      </c>
      <c r="O937" s="5" t="inlineStr"/>
      <c r="P937" s="5" t="inlineStr"/>
      <c r="Q937" s="5" t="inlineStr"/>
      <c r="R937" s="5" t="inlineStr"/>
    </row>
    <row r="938" ht="20" customHeight="1">
      <c r="A938" s="2" t="inlineStr">
        <is>
          <t>ST937</t>
        </is>
      </c>
      <c r="B938" s="3" t="inlineStr">
        <is>
          <t>How Voting Age Eligibility Is Calculated for Electoral Roll Registration in India</t>
        </is>
      </c>
      <c r="C938" s="2" t="inlineStr">
        <is>
          <t>General</t>
        </is>
      </c>
      <c r="D938" s="3" t="inlineStr">
        <is>
          <t>Age</t>
        </is>
      </c>
      <c r="E938" s="2" t="inlineStr">
        <is>
          <t>Guide</t>
        </is>
      </c>
      <c r="F938" s="2" t="inlineStr">
        <is>
          <t>Reference</t>
        </is>
      </c>
      <c r="G938" s="3" t="inlineStr">
        <is>
          <t>voting age eligibility cutoff date india</t>
        </is>
      </c>
      <c r="H938" s="3" t="inlineStr">
        <is>
          <t>eci 18 years qualifying dates, election commission age cutoff, voter id age calculation</t>
        </is>
      </c>
      <c r="I938" s="3" t="inlineStr">
        <is>
          <t>Age Calculator</t>
        </is>
      </c>
      <c r="J938" s="3" t="inlineStr">
        <is>
          <t>/calculators/age</t>
        </is>
      </c>
      <c r="K938" s="3" t="inlineStr">
        <is>
          <t>Detail Election Commission of India rules: 4 qualifying dates per year (January 1, April 1, July 1, October 1) to enroll upon turning 18.</t>
        </is>
      </c>
      <c r="L938" s="2" t="inlineStr">
        <is>
          <t>YES</t>
        </is>
      </c>
      <c r="M938" s="2" t="inlineStr">
        <is>
          <t>HIGH</t>
        </is>
      </c>
      <c r="N938" s="2" t="inlineStr">
        <is>
          <t>READY</t>
        </is>
      </c>
      <c r="O938" s="3" t="inlineStr"/>
      <c r="P938" s="3" t="inlineStr"/>
      <c r="Q938" s="3" t="inlineStr"/>
      <c r="R938" s="3" t="inlineStr"/>
    </row>
    <row r="939" ht="20" customHeight="1">
      <c r="A939" s="4" t="inlineStr">
        <is>
          <t>ST938</t>
        </is>
      </c>
      <c r="B939" s="5" t="inlineStr">
        <is>
          <t>Calculating Age for Senior Citizen Concessions and Bank FD Schemes (60 vs 80 Years)</t>
        </is>
      </c>
      <c r="C939" s="4" t="inlineStr">
        <is>
          <t>General</t>
        </is>
      </c>
      <c r="D939" s="5" t="inlineStr">
        <is>
          <t>Age</t>
        </is>
      </c>
      <c r="E939" s="4" t="inlineStr">
        <is>
          <t>Guide</t>
        </is>
      </c>
      <c r="F939" s="4" t="inlineStr">
        <is>
          <t>Reference</t>
        </is>
      </c>
      <c r="G939" s="5" t="inlineStr">
        <is>
          <t>age criteria for senior citizen in india</t>
        </is>
      </c>
      <c r="H939" s="5" t="inlineStr">
        <is>
          <t>60 years senior citizen vs 80 super senior, railway concession age rule, senior citizen status cutoff</t>
        </is>
      </c>
      <c r="I939" s="5" t="inlineStr">
        <is>
          <t>Age Calculator</t>
        </is>
      </c>
      <c r="J939" s="5" t="inlineStr">
        <is>
          <t>/calculators/age</t>
        </is>
      </c>
      <c r="K939" s="5" t="inlineStr">
        <is>
          <t>Define Senior Citizen (age 60+) and Super Senior Citizen (age 80+) under Income Tax Section 194A/80TTB, and calculating exact qualifying dates.</t>
        </is>
      </c>
      <c r="L939" s="4" t="inlineStr">
        <is>
          <t>YES</t>
        </is>
      </c>
      <c r="M939" s="4" t="inlineStr">
        <is>
          <t>HIGH</t>
        </is>
      </c>
      <c r="N939" s="4" t="inlineStr">
        <is>
          <t>READY</t>
        </is>
      </c>
      <c r="O939" s="5" t="inlineStr"/>
      <c r="P939" s="5" t="inlineStr"/>
      <c r="Q939" s="5" t="inlineStr"/>
      <c r="R939" s="5" t="inlineStr"/>
    </row>
    <row r="940" ht="20" customHeight="1">
      <c r="A940" s="2" t="inlineStr">
        <is>
          <t>ST939</t>
        </is>
      </c>
      <c r="B940" s="3" t="inlineStr">
        <is>
          <t>How to Calculate Age in Excel and Google Sheets: DATEDIF Function Guide</t>
        </is>
      </c>
      <c r="C940" s="2" t="inlineStr">
        <is>
          <t>General</t>
        </is>
      </c>
      <c r="D940" s="3" t="inlineStr">
        <is>
          <t>Age</t>
        </is>
      </c>
      <c r="E940" s="2" t="inlineStr">
        <is>
          <t>How-To</t>
        </is>
      </c>
      <c r="F940" s="2" t="inlineStr">
        <is>
          <t>How-To</t>
        </is>
      </c>
      <c r="G940" s="3" t="inlineStr">
        <is>
          <t>datedif function for age calculation excel</t>
        </is>
      </c>
      <c r="H940" s="3" t="inlineStr">
        <is>
          <t>excel age formula datedif y m d, calculate age in google sheets, datedif syntax</t>
        </is>
      </c>
      <c r="I940" s="3" t="inlineStr">
        <is>
          <t>Age Calculator</t>
        </is>
      </c>
      <c r="J940" s="3" t="inlineStr">
        <is>
          <t>/calculators/age</t>
        </is>
      </c>
      <c r="K940" s="3" t="inlineStr">
        <is>
          <t>Provide exact spreadsheet syntax: =DATEDIF(DOB, TODAY(), 'Y') &amp; ' Years, ' &amp; DATEDIF(DOB, TODAY(), 'YM') &amp; ' Months', explaining unit parameters.</t>
        </is>
      </c>
      <c r="L940" s="2" t="inlineStr">
        <is>
          <t>YES</t>
        </is>
      </c>
      <c r="M940" s="2" t="inlineStr">
        <is>
          <t>HIGH</t>
        </is>
      </c>
      <c r="N940" s="2" t="inlineStr">
        <is>
          <t>READY</t>
        </is>
      </c>
      <c r="O940" s="3" t="inlineStr"/>
      <c r="P940" s="3" t="inlineStr"/>
      <c r="Q940" s="3" t="inlineStr"/>
      <c r="R940" s="3" t="inlineStr"/>
    </row>
    <row r="941" ht="20" customHeight="1">
      <c r="A941" s="4" t="inlineStr">
        <is>
          <t>ST940</t>
        </is>
      </c>
      <c r="B941" s="5" t="inlineStr">
        <is>
          <t>Age Gap in Relationships: How to Calculate Exact Age Difference Between Two People</t>
        </is>
      </c>
      <c r="C941" s="4" t="inlineStr">
        <is>
          <t>General</t>
        </is>
      </c>
      <c r="D941" s="5" t="inlineStr">
        <is>
          <t>Age</t>
        </is>
      </c>
      <c r="E941" s="4" t="inlineStr">
        <is>
          <t>How-To</t>
        </is>
      </c>
      <c r="F941" s="4" t="inlineStr">
        <is>
          <t>How-To</t>
        </is>
      </c>
      <c r="G941" s="5" t="inlineStr">
        <is>
          <t>how to calculate age gap between two people</t>
        </is>
      </c>
      <c r="H941" s="5" t="inlineStr">
        <is>
          <t>age difference calculator formula, exact age gap in years and months, comparing two dates of birth</t>
        </is>
      </c>
      <c r="I941" s="5" t="inlineStr">
        <is>
          <t>Age Calculator</t>
        </is>
      </c>
      <c r="J941" s="5" t="inlineStr">
        <is>
          <t>/calculators/age</t>
        </is>
      </c>
      <c r="K941" s="5" t="inlineStr">
        <is>
          <t>Step-by-step subtraction of the earlier birthdate from the later birthdate, resolving borrow-overs to yield exact age gap down to days.</t>
        </is>
      </c>
      <c r="L941" s="4" t="inlineStr">
        <is>
          <t>YES</t>
        </is>
      </c>
      <c r="M941" s="4" t="inlineStr">
        <is>
          <t>HIGH</t>
        </is>
      </c>
      <c r="N941" s="4" t="inlineStr">
        <is>
          <t>READY</t>
        </is>
      </c>
      <c r="O941" s="5" t="inlineStr"/>
      <c r="P941" s="5" t="inlineStr"/>
      <c r="Q941" s="5" t="inlineStr"/>
      <c r="R941" s="5" t="inlineStr"/>
    </row>
    <row r="942" ht="20" customHeight="1">
      <c r="A942" s="2" t="inlineStr">
        <is>
          <t>ST941</t>
        </is>
      </c>
      <c r="B942" s="3" t="inlineStr">
        <is>
          <t>Calculating Retirement Date: How Government and Corporate Superannuation Dates Are Set</t>
        </is>
      </c>
      <c r="C942" s="2" t="inlineStr">
        <is>
          <t>General</t>
        </is>
      </c>
      <c r="D942" s="3" t="inlineStr">
        <is>
          <t>Age</t>
        </is>
      </c>
      <c r="E942" s="2" t="inlineStr">
        <is>
          <t>Guide</t>
        </is>
      </c>
      <c r="F942" s="2" t="inlineStr">
        <is>
          <t>Reference</t>
        </is>
      </c>
      <c r="G942" s="3" t="inlineStr">
        <is>
          <t>superannuation age calculation formula</t>
        </is>
      </c>
      <c r="H942" s="3" t="inlineStr">
        <is>
          <t>retirement date last day of month rule, 58 vs 60 years retirement date, central government superannuation rules</t>
        </is>
      </c>
      <c r="I942" s="3" t="inlineStr">
        <is>
          <t>Age Calculator</t>
        </is>
      </c>
      <c r="J942" s="3" t="inlineStr">
        <is>
          <t>/calculators/age</t>
        </is>
      </c>
      <c r="K942" s="3" t="inlineStr">
        <is>
          <t>Explain standard Indian service rules: retirement occurs on the final afternoon of the month in which the employee attains age 60 (or preceding day if born on 1st).</t>
        </is>
      </c>
      <c r="L942" s="2" t="inlineStr">
        <is>
          <t>YES</t>
        </is>
      </c>
      <c r="M942" s="2" t="inlineStr">
        <is>
          <t>HIGH</t>
        </is>
      </c>
      <c r="N942" s="2" t="inlineStr">
        <is>
          <t>READY</t>
        </is>
      </c>
      <c r="O942" s="3" t="inlineStr"/>
      <c r="P942" s="3" t="inlineStr"/>
      <c r="Q942" s="3" t="inlineStr"/>
      <c r="R942" s="3" t="inlineStr"/>
    </row>
    <row r="943" ht="20" customHeight="1">
      <c r="A943" s="4" t="inlineStr">
        <is>
          <t>ST942</t>
        </is>
      </c>
      <c r="B943" s="5" t="inlineStr">
        <is>
          <t>How Insurance Companies Calculate 'Age Nearest Birthday' for Life Insurance Premiums</t>
        </is>
      </c>
      <c r="C943" s="4" t="inlineStr">
        <is>
          <t>General</t>
        </is>
      </c>
      <c r="D943" s="5" t="inlineStr">
        <is>
          <t>Age</t>
        </is>
      </c>
      <c r="E943" s="4" t="inlineStr">
        <is>
          <t>Explanation</t>
        </is>
      </c>
      <c r="F943" s="4" t="inlineStr">
        <is>
          <t>Reference</t>
        </is>
      </c>
      <c r="G943" s="5" t="inlineStr">
        <is>
          <t>age nearest birthday meaning life insurance</t>
        </is>
      </c>
      <c r="H943" s="5" t="inlineStr">
        <is>
          <t>insurance age calculation, age last birthday vs age next birthday, lic policy age calculation</t>
        </is>
      </c>
      <c r="I943" s="5" t="inlineStr">
        <is>
          <t>Age Calculator</t>
        </is>
      </c>
      <c r="J943" s="5" t="inlineStr">
        <is>
          <t>/calculators/age</t>
        </is>
      </c>
      <c r="K943" s="5" t="inlineStr">
        <is>
          <t>Explain underwriting convention: if your birthday is within 6 months, actuaries round up to your next age, increasing term insurance premium quotes.</t>
        </is>
      </c>
      <c r="L943" s="4" t="inlineStr">
        <is>
          <t>YES</t>
        </is>
      </c>
      <c r="M943" s="4" t="inlineStr">
        <is>
          <t>HIGH</t>
        </is>
      </c>
      <c r="N943" s="4" t="inlineStr">
        <is>
          <t>READY</t>
        </is>
      </c>
      <c r="O943" s="5" t="inlineStr"/>
      <c r="P943" s="5" t="inlineStr"/>
      <c r="Q943" s="5" t="inlineStr"/>
      <c r="R943" s="5" t="inlineStr"/>
    </row>
    <row r="944" ht="20" customHeight="1">
      <c r="A944" s="2" t="inlineStr">
        <is>
          <t>ST943</t>
        </is>
      </c>
      <c r="B944" s="3" t="inlineStr">
        <is>
          <t>Calculating Exact Age on Marriage Registration Date: Legal Age Thresholds in India</t>
        </is>
      </c>
      <c r="C944" s="2" t="inlineStr">
        <is>
          <t>General</t>
        </is>
      </c>
      <c r="D944" s="3" t="inlineStr">
        <is>
          <t>Age</t>
        </is>
      </c>
      <c r="E944" s="2" t="inlineStr">
        <is>
          <t>Guide</t>
        </is>
      </c>
      <c r="F944" s="2" t="inlineStr">
        <is>
          <t>Reference</t>
        </is>
      </c>
      <c r="G944" s="3" t="inlineStr">
        <is>
          <t>legal marriage age in india calculation</t>
        </is>
      </c>
      <c r="H944" s="3" t="inlineStr">
        <is>
          <t>minimum marriage age 21 for male 18 for female, marriage registration age proof, legal age calculation</t>
        </is>
      </c>
      <c r="I944" s="3" t="inlineStr">
        <is>
          <t>Age Calculator</t>
        </is>
      </c>
      <c r="J944" s="3" t="inlineStr">
        <is>
          <t>/calculators/age</t>
        </is>
      </c>
      <c r="K944" s="3" t="inlineStr">
        <is>
          <t>Detail statutory marriage age laws under the Hindu Marriage Act and Special Marriage Act, and verifying birth certificates for registration.</t>
        </is>
      </c>
      <c r="L944" s="2" t="inlineStr">
        <is>
          <t>YES</t>
        </is>
      </c>
      <c r="M944" s="2" t="inlineStr">
        <is>
          <t>MEDIUM</t>
        </is>
      </c>
      <c r="N944" s="2" t="inlineStr">
        <is>
          <t>READY</t>
        </is>
      </c>
      <c r="O944" s="3" t="inlineStr"/>
      <c r="P944" s="3" t="inlineStr"/>
      <c r="Q944" s="3" t="inlineStr"/>
      <c r="R944" s="3" t="inlineStr"/>
    </row>
    <row r="945" ht="20" customHeight="1">
      <c r="A945" s="4" t="inlineStr">
        <is>
          <t>ST944</t>
        </is>
      </c>
      <c r="B945" s="5" t="inlineStr">
        <is>
          <t>How Ancient Civilizations Counted Age: East Asian Age (Nominal Age) vs Western Age</t>
        </is>
      </c>
      <c r="C945" s="4" t="inlineStr">
        <is>
          <t>General</t>
        </is>
      </c>
      <c r="D945" s="5" t="inlineStr">
        <is>
          <t>Age</t>
        </is>
      </c>
      <c r="E945" s="4" t="inlineStr">
        <is>
          <t>Comparison</t>
        </is>
      </c>
      <c r="F945" s="4" t="inlineStr">
        <is>
          <t>Educational</t>
        </is>
      </c>
      <c r="G945" s="5" t="inlineStr">
        <is>
          <t>east asian age vs western age</t>
        </is>
      </c>
      <c r="H945" s="5" t="inlineStr">
        <is>
          <t>korean age system explained, nominal age calculation, why east asian age is 1 year older</t>
        </is>
      </c>
      <c r="I945" s="5" t="inlineStr">
        <is>
          <t>Age Calculator</t>
        </is>
      </c>
      <c r="J945" s="5" t="inlineStr">
        <is>
          <t>/calculators/age</t>
        </is>
      </c>
      <c r="K945" s="5" t="inlineStr">
        <is>
          <t>Explain traditional systems where individuals are considered 1 year old at birth and gain a year on New Year's Day, and South Korea's recent transition to international age.</t>
        </is>
      </c>
      <c r="L945" s="4" t="inlineStr">
        <is>
          <t>YES</t>
        </is>
      </c>
      <c r="M945" s="4" t="inlineStr">
        <is>
          <t>LOW</t>
        </is>
      </c>
      <c r="N945" s="4" t="inlineStr">
        <is>
          <t>READY</t>
        </is>
      </c>
      <c r="O945" s="5" t="inlineStr"/>
      <c r="P945" s="5" t="inlineStr"/>
      <c r="Q945" s="5" t="inlineStr"/>
      <c r="R945" s="5" t="inlineStr"/>
    </row>
    <row r="946" ht="20" customHeight="1">
      <c r="A946" s="2" t="inlineStr">
        <is>
          <t>ST945</t>
        </is>
      </c>
      <c r="B946" s="3" t="inlineStr">
        <is>
          <t>Calculating Time Saved or Lost Across Different Time Zones for Babies Born on Flight</t>
        </is>
      </c>
      <c r="C946" s="2" t="inlineStr">
        <is>
          <t>General</t>
        </is>
      </c>
      <c r="D946" s="3" t="inlineStr">
        <is>
          <t>Age</t>
        </is>
      </c>
      <c r="E946" s="2" t="inlineStr">
        <is>
          <t>Explanation</t>
        </is>
      </c>
      <c r="F946" s="2" t="inlineStr">
        <is>
          <t>Informational</t>
        </is>
      </c>
      <c r="G946" s="3" t="inlineStr">
        <is>
          <t>date of birth baby born on international flight</t>
        </is>
      </c>
      <c r="H946" s="3" t="inlineStr">
        <is>
          <t>birth certificate international waters, timezone impact on birthdate, legal age birth on airplane</t>
        </is>
      </c>
      <c r="I946" s="3" t="inlineStr">
        <is>
          <t>Age Calculator</t>
        </is>
      </c>
      <c r="J946" s="3" t="inlineStr">
        <is>
          <t>/calculators/age</t>
        </is>
      </c>
      <c r="K946" s="3" t="inlineStr">
        <is>
          <t>Explore legal and astronomical nuances: UTC recording vs origin/destination time zone, and how crossing the International Date Line affects birthday records.</t>
        </is>
      </c>
      <c r="L946" s="2" t="inlineStr">
        <is>
          <t>YES</t>
        </is>
      </c>
      <c r="M946" s="2" t="inlineStr">
        <is>
          <t>LOW</t>
        </is>
      </c>
      <c r="N946" s="2" t="inlineStr">
        <is>
          <t>READY</t>
        </is>
      </c>
      <c r="O946" s="3" t="inlineStr"/>
      <c r="P946" s="3" t="inlineStr"/>
      <c r="Q946" s="3" t="inlineStr"/>
      <c r="R946" s="3" t="inlineStr"/>
    </row>
    <row r="947" ht="20" customHeight="1">
      <c r="A947" s="4" t="inlineStr">
        <is>
          <t>ST946</t>
        </is>
      </c>
      <c r="B947" s="5" t="inlineStr">
        <is>
          <t>How to Calculate Dog Years and Cat Years to Equivalent Human Age</t>
        </is>
      </c>
      <c r="C947" s="4" t="inlineStr">
        <is>
          <t>General</t>
        </is>
      </c>
      <c r="D947" s="5" t="inlineStr">
        <is>
          <t>Age</t>
        </is>
      </c>
      <c r="E947" s="4" t="inlineStr">
        <is>
          <t>Formula Guide</t>
        </is>
      </c>
      <c r="F947" s="4" t="inlineStr">
        <is>
          <t>Educational</t>
        </is>
      </c>
      <c r="G947" s="5" t="inlineStr">
        <is>
          <t>how to calculate dog years to human years</t>
        </is>
      </c>
      <c r="H947" s="5" t="inlineStr">
        <is>
          <t>cat age in human years formula, 7 year dog rule myth, realistic pet age conversion</t>
        </is>
      </c>
      <c r="I947" s="5" t="inlineStr">
        <is>
          <t>Age Calculator</t>
        </is>
      </c>
      <c r="J947" s="5" t="inlineStr">
        <is>
          <t>/calculators/age</t>
        </is>
      </c>
      <c r="K947" s="5" t="inlineStr">
        <is>
          <t>Dispel the flat 7-to-1 myth: first year of a dog equals ~15 human years, second year equals ~9 human years, and subsequent years equal ~4-5 years based on breed size.</t>
        </is>
      </c>
      <c r="L947" s="4" t="inlineStr">
        <is>
          <t>YES</t>
        </is>
      </c>
      <c r="M947" s="4" t="inlineStr">
        <is>
          <t>MEDIUM</t>
        </is>
      </c>
      <c r="N947" s="4" t="inlineStr">
        <is>
          <t>READY</t>
        </is>
      </c>
      <c r="O947" s="5" t="inlineStr"/>
      <c r="P947" s="5" t="inlineStr"/>
      <c r="Q947" s="5" t="inlineStr"/>
      <c r="R947" s="5" t="inlineStr"/>
    </row>
    <row r="948" ht="20" customHeight="1">
      <c r="A948" s="2" t="inlineStr">
        <is>
          <t>ST947</t>
        </is>
      </c>
      <c r="B948" s="3" t="inlineStr">
        <is>
          <t>Can You Accurately Calculate Age Using Unix Epoch Timestamps?</t>
        </is>
      </c>
      <c r="C948" s="2" t="inlineStr">
        <is>
          <t>General</t>
        </is>
      </c>
      <c r="D948" s="3" t="inlineStr">
        <is>
          <t>Age</t>
        </is>
      </c>
      <c r="E948" s="2" t="inlineStr">
        <is>
          <t>Formula Guide</t>
        </is>
      </c>
      <c r="F948" s="2" t="inlineStr">
        <is>
          <t>How-To</t>
        </is>
      </c>
      <c r="G948" s="3" t="inlineStr">
        <is>
          <t>convert unix timestamp to age</t>
        </is>
      </c>
      <c r="H948" s="3" t="inlineStr">
        <is>
          <t>epoch time difference age calculation, milliseconds to years formula, timestamp age math</t>
        </is>
      </c>
      <c r="I948" s="3" t="inlineStr">
        <is>
          <t>Age Calculator</t>
        </is>
      </c>
      <c r="J948" s="3" t="inlineStr">
        <is>
          <t>/calculators/age</t>
        </is>
      </c>
      <c r="K948" s="3" t="inlineStr">
        <is>
          <t>Demonstrate programming logic: subtracting birth timestamp from current timestamp and converting elapsed seconds while handling leap second edge cases.</t>
        </is>
      </c>
      <c r="L948" s="2" t="inlineStr">
        <is>
          <t>YES</t>
        </is>
      </c>
      <c r="M948" s="2" t="inlineStr">
        <is>
          <t>LOW</t>
        </is>
      </c>
      <c r="N948" s="2" t="inlineStr">
        <is>
          <t>READY</t>
        </is>
      </c>
      <c r="O948" s="3" t="inlineStr"/>
      <c r="P948" s="3" t="inlineStr"/>
      <c r="Q948" s="3" t="inlineStr"/>
      <c r="R948" s="3" t="inlineStr"/>
    </row>
    <row r="949" ht="20" customHeight="1">
      <c r="A949" s="4" t="inlineStr">
        <is>
          <t>ST948</t>
        </is>
      </c>
      <c r="B949" s="5" t="inlineStr">
        <is>
          <t>Calculating Age for Minor Bank Accounts and PPF for Minors (Under 18 Rules)</t>
        </is>
      </c>
      <c r="C949" s="4" t="inlineStr">
        <is>
          <t>General</t>
        </is>
      </c>
      <c r="D949" s="5" t="inlineStr">
        <is>
          <t>Age</t>
        </is>
      </c>
      <c r="E949" s="4" t="inlineStr">
        <is>
          <t>Guide</t>
        </is>
      </c>
      <c r="F949" s="4" t="inlineStr">
        <is>
          <t>Reference</t>
        </is>
      </c>
      <c r="G949" s="5" t="inlineStr">
        <is>
          <t>minor bank account age limit india</t>
        </is>
      </c>
      <c r="H949" s="5" t="inlineStr">
        <is>
          <t>ppf account for minor maturity, operational bank account age 10 years, guardian minor account rules</t>
        </is>
      </c>
      <c r="I949" s="5" t="inlineStr">
        <is>
          <t>Age Calculator</t>
        </is>
      </c>
      <c r="J949" s="5" t="inlineStr">
        <is>
          <t>/calculators/age</t>
        </is>
      </c>
      <c r="K949" s="5" t="inlineStr">
        <is>
          <t>Explain RBI norms: minors above 10 can independently operate savings accounts, and converting minor accounts to major status upon turning 18.</t>
        </is>
      </c>
      <c r="L949" s="4" t="inlineStr">
        <is>
          <t>YES</t>
        </is>
      </c>
      <c r="M949" s="4" t="inlineStr">
        <is>
          <t>MEDIUM</t>
        </is>
      </c>
      <c r="N949" s="4" t="inlineStr">
        <is>
          <t>READY</t>
        </is>
      </c>
      <c r="O949" s="5" t="inlineStr"/>
      <c r="P949" s="5" t="inlineStr"/>
      <c r="Q949" s="5" t="inlineStr"/>
      <c r="R949" s="5" t="inlineStr"/>
    </row>
    <row r="950" ht="20" customHeight="1">
      <c r="A950" s="2" t="inlineStr">
        <is>
          <t>ST949</t>
        </is>
      </c>
      <c r="B950" s="3" t="inlineStr">
        <is>
          <t>How Judicial Courts Verify Age in Dispute Cases: Ossification Test vs Birth Certificate</t>
        </is>
      </c>
      <c r="C950" s="2" t="inlineStr">
        <is>
          <t>General</t>
        </is>
      </c>
      <c r="D950" s="3" t="inlineStr">
        <is>
          <t>Age</t>
        </is>
      </c>
      <c r="E950" s="2" t="inlineStr">
        <is>
          <t>Guide</t>
        </is>
      </c>
      <c r="F950" s="2" t="inlineStr">
        <is>
          <t>Reference</t>
        </is>
      </c>
      <c r="G950" s="3" t="inlineStr">
        <is>
          <t>ossification test for age determination</t>
        </is>
      </c>
      <c r="H950" s="3" t="inlineStr">
        <is>
          <t>medical age estimation bones x ray, bone age test accuracy margin, juvenility plea age proof</t>
        </is>
      </c>
      <c r="I950" s="3" t="inlineStr">
        <is>
          <t>Age Calculator</t>
        </is>
      </c>
      <c r="J950" s="3" t="inlineStr">
        <is>
          <t>/calculators/age</t>
        </is>
      </c>
      <c r="K950" s="3" t="inlineStr">
        <is>
          <t>Explain forensic bone age determination via X-ray fusion of epiphyseal plates (+/- 2 years error margin) and priority of municipal birth records under JJ Act.</t>
        </is>
      </c>
      <c r="L950" s="2" t="inlineStr">
        <is>
          <t>YES</t>
        </is>
      </c>
      <c r="M950" s="2" t="inlineStr">
        <is>
          <t>LOW</t>
        </is>
      </c>
      <c r="N950" s="2" t="inlineStr">
        <is>
          <t>READY</t>
        </is>
      </c>
      <c r="O950" s="3" t="inlineStr"/>
      <c r="P950" s="3" t="inlineStr"/>
      <c r="Q950" s="3" t="inlineStr"/>
      <c r="R950" s="3" t="inlineStr"/>
    </row>
    <row r="951" ht="20" customHeight="1">
      <c r="A951" s="4" t="inlineStr">
        <is>
          <t>ST950</t>
        </is>
      </c>
      <c r="B951" s="5" t="inlineStr">
        <is>
          <t>Summary Guide: Key Formulas and Calendar Rules for Chronological Age Calculations</t>
        </is>
      </c>
      <c r="C951" s="4" t="inlineStr">
        <is>
          <t>General</t>
        </is>
      </c>
      <c r="D951" s="5" t="inlineStr">
        <is>
          <t>Age</t>
        </is>
      </c>
      <c r="E951" s="4" t="inlineStr">
        <is>
          <t>Formula Guide</t>
        </is>
      </c>
      <c r="F951" s="4" t="inlineStr">
        <is>
          <t>Reference</t>
        </is>
      </c>
      <c r="G951" s="5" t="inlineStr">
        <is>
          <t>chronological age formulas summary</t>
        </is>
      </c>
      <c r="H951" s="5" t="inlineStr">
        <is>
          <t>all age formulas cheat sheet, borrow over calendar math, age calculation reference guide</t>
        </is>
      </c>
      <c r="I951" s="5" t="inlineStr">
        <is>
          <t>Age Calculator</t>
        </is>
      </c>
      <c r="J951" s="5" t="inlineStr">
        <is>
          <t>/calculators/age</t>
        </is>
      </c>
      <c r="K951" s="5" t="inlineStr">
        <is>
          <t>Consolidated reference sheet detailing day/month borrowing rules, leap year logic, Zeller's congruence, and official examination cutoff algorithms.</t>
        </is>
      </c>
      <c r="L951" s="4" t="inlineStr">
        <is>
          <t>YES</t>
        </is>
      </c>
      <c r="M951" s="4" t="inlineStr">
        <is>
          <t>HIGH</t>
        </is>
      </c>
      <c r="N951" s="4" t="inlineStr">
        <is>
          <t>READY</t>
        </is>
      </c>
      <c r="O951" s="5" t="inlineStr"/>
      <c r="P951" s="5" t="inlineStr"/>
      <c r="Q951" s="5" t="inlineStr"/>
      <c r="R951" s="5" t="inlineStr"/>
    </row>
    <row r="952" ht="20" customHeight="1">
      <c r="A952" s="2" t="inlineStr">
        <is>
          <t>ST951</t>
        </is>
      </c>
      <c r="B952" s="3" t="inlineStr">
        <is>
          <t>How Body Mass Index (BMI) Is Calculated: Metric and Imperial Mathematical Formulas</t>
        </is>
      </c>
      <c r="C952" s="2" t="inlineStr">
        <is>
          <t>General</t>
        </is>
      </c>
      <c r="D952" s="3" t="inlineStr">
        <is>
          <t>BMI</t>
        </is>
      </c>
      <c r="E952" s="2" t="inlineStr">
        <is>
          <t>Formula Guide</t>
        </is>
      </c>
      <c r="F952" s="2" t="inlineStr">
        <is>
          <t>How-To</t>
        </is>
      </c>
      <c r="G952" s="3" t="inlineStr">
        <is>
          <t>how bmi is calculated formula</t>
        </is>
      </c>
      <c r="H952" s="3" t="inlineStr">
        <is>
          <t>bmi formula metric imperial, body mass index calculation formula, kg m2 bmi formula</t>
        </is>
      </c>
      <c r="I952" s="3" t="inlineStr">
        <is>
          <t>BMI Calculator</t>
        </is>
      </c>
      <c r="J952" s="3" t="inlineStr">
        <is>
          <t>/calculators/bmi</t>
        </is>
      </c>
      <c r="K952" s="3" t="inlineStr">
        <is>
          <t>Derive the Quetelet formula: BMI = weight (kg) / [height (m)]^2. Provide the imperial equivalent: [weight (lbs) * 703] / [height (inches)]^2 with worked examples.</t>
        </is>
      </c>
      <c r="L952" s="2" t="inlineStr">
        <is>
          <t>YES</t>
        </is>
      </c>
      <c r="M952" s="2" t="inlineStr">
        <is>
          <t>HIGH</t>
        </is>
      </c>
      <c r="N952" s="2" t="inlineStr">
        <is>
          <t>READY</t>
        </is>
      </c>
      <c r="O952" s="3" t="inlineStr"/>
      <c r="P952" s="3" t="inlineStr"/>
      <c r="Q952" s="3" t="inlineStr"/>
      <c r="R952" s="3" t="inlineStr"/>
    </row>
    <row r="953" ht="20" customHeight="1">
      <c r="A953" s="4" t="inlineStr">
        <is>
          <t>ST952</t>
        </is>
      </c>
      <c r="B953" s="5" t="inlineStr">
        <is>
          <t>WHO BMI Categories vs Asian Indian BMI Cutoffs: Why Indians Need Lower Thresholds</t>
        </is>
      </c>
      <c r="C953" s="4" t="inlineStr">
        <is>
          <t>General</t>
        </is>
      </c>
      <c r="D953" s="5" t="inlineStr">
        <is>
          <t>BMI</t>
        </is>
      </c>
      <c r="E953" s="4" t="inlineStr">
        <is>
          <t>Comparison</t>
        </is>
      </c>
      <c r="F953" s="4" t="inlineStr">
        <is>
          <t>Educational</t>
        </is>
      </c>
      <c r="G953" s="5" t="inlineStr">
        <is>
          <t>asian indian bmi cutoffs vs who</t>
        </is>
      </c>
      <c r="H953" s="5" t="inlineStr">
        <is>
          <t>why bmi cutoff is lower for indians, normal bmi for indians 18.5 to 22.9, thin fat phenotype india</t>
        </is>
      </c>
      <c r="I953" s="5" t="inlineStr">
        <is>
          <t>BMI Calculator</t>
        </is>
      </c>
      <c r="J953" s="5" t="inlineStr">
        <is>
          <t>/calculators/bmi</t>
        </is>
      </c>
      <c r="K953" s="5" t="inlineStr">
        <is>
          <t>Explain ICMR and WHO guidelines for South Asians: Overweight starts at 23.0 (vs 25.0 globally) and Obese starts at 25.0 (vs 30.0 globally) due to higher visceral fat ratios.</t>
        </is>
      </c>
      <c r="L953" s="4" t="inlineStr">
        <is>
          <t>YES</t>
        </is>
      </c>
      <c r="M953" s="4" t="inlineStr">
        <is>
          <t>HIGH</t>
        </is>
      </c>
      <c r="N953" s="4" t="inlineStr">
        <is>
          <t>READY</t>
        </is>
      </c>
      <c r="O953" s="5" t="inlineStr"/>
      <c r="P953" s="5" t="inlineStr"/>
      <c r="Q953" s="5" t="inlineStr"/>
      <c r="R953" s="5" t="inlineStr"/>
    </row>
    <row r="954" ht="20" customHeight="1">
      <c r="A954" s="2" t="inlineStr">
        <is>
          <t>ST953</t>
        </is>
      </c>
      <c r="B954" s="3" t="inlineStr">
        <is>
          <t>BMI Limitations: Why BMI Cannot Distinguish Between Muscle Mass and Body Fat</t>
        </is>
      </c>
      <c r="C954" s="2" t="inlineStr">
        <is>
          <t>General</t>
        </is>
      </c>
      <c r="D954" s="3" t="inlineStr">
        <is>
          <t>BMI</t>
        </is>
      </c>
      <c r="E954" s="2" t="inlineStr">
        <is>
          <t>Explanation</t>
        </is>
      </c>
      <c r="F954" s="2" t="inlineStr">
        <is>
          <t>Educational</t>
        </is>
      </c>
      <c r="G954" s="3" t="inlineStr">
        <is>
          <t>limitations of bmi body mass index</t>
        </is>
      </c>
      <c r="H954" s="3" t="inlineStr">
        <is>
          <t>why bmi is flawed for athletes, muscle weight vs fat weight bmi, is bmi accurate</t>
        </is>
      </c>
      <c r="I954" s="3" t="inlineStr">
        <is>
          <t>BMI Calculator</t>
        </is>
      </c>
      <c r="J954" s="3" t="inlineStr">
        <is>
          <t>/calculators/bmi</t>
        </is>
      </c>
      <c r="K954" s="3" t="inlineStr">
        <is>
          <t>Explain why bodybuilders and athletes register as 'obese' on BMI charts because the formula accounts only for total weight, neglecting body composition.</t>
        </is>
      </c>
      <c r="L954" s="2" t="inlineStr">
        <is>
          <t>YES</t>
        </is>
      </c>
      <c r="M954" s="2" t="inlineStr">
        <is>
          <t>HIGH</t>
        </is>
      </c>
      <c r="N954" s="2" t="inlineStr">
        <is>
          <t>READY</t>
        </is>
      </c>
      <c r="O954" s="3" t="inlineStr"/>
      <c r="P954" s="3" t="inlineStr"/>
      <c r="Q954" s="3" t="inlineStr"/>
      <c r="R954" s="3" t="inlineStr"/>
    </row>
    <row r="955" ht="20" customHeight="1">
      <c r="A955" s="4" t="inlineStr">
        <is>
          <t>ST954</t>
        </is>
      </c>
      <c r="B955" s="5" t="inlineStr">
        <is>
          <t>How to Calculate Your Ideal Body Weight Range from Your Height</t>
        </is>
      </c>
      <c r="C955" s="4" t="inlineStr">
        <is>
          <t>General</t>
        </is>
      </c>
      <c r="D955" s="5" t="inlineStr">
        <is>
          <t>BMI</t>
        </is>
      </c>
      <c r="E955" s="4" t="inlineStr">
        <is>
          <t>Formula Guide</t>
        </is>
      </c>
      <c r="F955" s="4" t="inlineStr">
        <is>
          <t>How-To</t>
        </is>
      </c>
      <c r="G955" s="5" t="inlineStr">
        <is>
          <t>how to calculate ideal weight from height</t>
        </is>
      </c>
      <c r="H955" s="5" t="inlineStr">
        <is>
          <t>ideal body weight formula, healthy weight range for height, devine formula ideal weight</t>
        </is>
      </c>
      <c r="I955" s="5" t="inlineStr">
        <is>
          <t>BMI Calculator</t>
        </is>
      </c>
      <c r="J955" s="5" t="inlineStr">
        <is>
          <t>/calculators/bmi</t>
        </is>
      </c>
      <c r="K955" s="5" t="inlineStr">
        <is>
          <t>Invert the BMI equation: Minimum Healthy Weight = 18.5 * (Height in m)^2, and Maximum Healthy Weight = 22.9 * (Height in m)^2 (Asian cutoff).</t>
        </is>
      </c>
      <c r="L955" s="4" t="inlineStr">
        <is>
          <t>YES</t>
        </is>
      </c>
      <c r="M955" s="4" t="inlineStr">
        <is>
          <t>HIGH</t>
        </is>
      </c>
      <c r="N955" s="4" t="inlineStr">
        <is>
          <t>READY</t>
        </is>
      </c>
      <c r="O955" s="5" t="inlineStr"/>
      <c r="P955" s="5" t="inlineStr"/>
      <c r="Q955" s="5" t="inlineStr"/>
      <c r="R955" s="5" t="inlineStr"/>
    </row>
    <row r="956" ht="20" customHeight="1">
      <c r="A956" s="2" t="inlineStr">
        <is>
          <t>ST955</t>
        </is>
      </c>
      <c r="B956" s="3" t="inlineStr">
        <is>
          <t>Waist-to-Height Ratio (WHtR) vs BMI: The 0.5 Benchmark for Cardiovascular Health</t>
        </is>
      </c>
      <c r="C956" s="2" t="inlineStr">
        <is>
          <t>General</t>
        </is>
      </c>
      <c r="D956" s="3" t="inlineStr">
        <is>
          <t>BMI</t>
        </is>
      </c>
      <c r="E956" s="2" t="inlineStr">
        <is>
          <t>Comparison</t>
        </is>
      </c>
      <c r="F956" s="2" t="inlineStr">
        <is>
          <t>Educational</t>
        </is>
      </c>
      <c r="G956" s="3" t="inlineStr">
        <is>
          <t>waist to height ratio vs bmi</t>
        </is>
      </c>
      <c r="H956" s="3" t="inlineStr">
        <is>
          <t>whtr calculation formula, keep waist to half your height, abdominal obesity measurement</t>
        </is>
      </c>
      <c r="I956" s="3" t="inlineStr">
        <is>
          <t>BMI Calculator</t>
        </is>
      </c>
      <c r="J956" s="3" t="inlineStr">
        <is>
          <t>/calculators/bmi</t>
        </is>
      </c>
      <c r="K956" s="3" t="inlineStr">
        <is>
          <t>Introduce WHtR: Waist Circumference / Height. Explain why keeping waist under half your height (ratio &lt; 0.5) is a superior predictor of metabolic health than BMI alone.</t>
        </is>
      </c>
      <c r="L956" s="2" t="inlineStr">
        <is>
          <t>YES</t>
        </is>
      </c>
      <c r="M956" s="2" t="inlineStr">
        <is>
          <t>HIGH</t>
        </is>
      </c>
      <c r="N956" s="2" t="inlineStr">
        <is>
          <t>READY</t>
        </is>
      </c>
      <c r="O956" s="3" t="inlineStr"/>
      <c r="P956" s="3" t="inlineStr"/>
      <c r="Q956" s="3" t="inlineStr"/>
      <c r="R956" s="3" t="inlineStr"/>
    </row>
    <row r="957" ht="20" customHeight="1">
      <c r="A957" s="4" t="inlineStr">
        <is>
          <t>ST956</t>
        </is>
      </c>
      <c r="B957" s="5" t="inlineStr">
        <is>
          <t>How Many Kilograms Do You Need to Lose to Move from Overweight to Normal BMI?</t>
        </is>
      </c>
      <c r="C957" s="4" t="inlineStr">
        <is>
          <t>General</t>
        </is>
      </c>
      <c r="D957" s="5" t="inlineStr">
        <is>
          <t>BMI</t>
        </is>
      </c>
      <c r="E957" s="4" t="inlineStr">
        <is>
          <t>How-To</t>
        </is>
      </c>
      <c r="F957" s="4" t="inlineStr">
        <is>
          <t>Planning</t>
        </is>
      </c>
      <c r="G957" s="5" t="inlineStr">
        <is>
          <t>how many kg to lose to reach normal bmi</t>
        </is>
      </c>
      <c r="H957" s="5" t="inlineStr">
        <is>
          <t>weight loss target for healthy bmi, calculating excess weight, target weight formula</t>
        </is>
      </c>
      <c r="I957" s="5" t="inlineStr">
        <is>
          <t>BMI Calculator</t>
        </is>
      </c>
      <c r="J957" s="5" t="inlineStr">
        <is>
          <t>/calculators/bmi</t>
        </is>
      </c>
      <c r="K957" s="5" t="inlineStr">
        <is>
          <t>Formula: Excess Weight = Current Weight - [Target Upper BMI * (Height in m)^2]. Provide worked examples for individuals at 5'6", 5'9", and 6'0".</t>
        </is>
      </c>
      <c r="L957" s="4" t="inlineStr">
        <is>
          <t>YES</t>
        </is>
      </c>
      <c r="M957" s="4" t="inlineStr">
        <is>
          <t>HIGH</t>
        </is>
      </c>
      <c r="N957" s="4" t="inlineStr">
        <is>
          <t>READY</t>
        </is>
      </c>
      <c r="O957" s="5" t="inlineStr"/>
      <c r="P957" s="5" t="inlineStr"/>
      <c r="Q957" s="5" t="inlineStr"/>
      <c r="R957" s="5" t="inlineStr"/>
    </row>
    <row r="958" ht="20" customHeight="1">
      <c r="A958" s="2" t="inlineStr">
        <is>
          <t>ST957</t>
        </is>
      </c>
      <c r="B958" s="3" t="inlineStr">
        <is>
          <t>Child and Teen BMI: Why Percentile Charts Are Used Instead of Fixed Cutoffs</t>
        </is>
      </c>
      <c r="C958" s="2" t="inlineStr">
        <is>
          <t>General</t>
        </is>
      </c>
      <c r="D958" s="3" t="inlineStr">
        <is>
          <t>BMI</t>
        </is>
      </c>
      <c r="E958" s="2" t="inlineStr">
        <is>
          <t>Guide</t>
        </is>
      </c>
      <c r="F958" s="2" t="inlineStr">
        <is>
          <t>Reference</t>
        </is>
      </c>
      <c r="G958" s="3" t="inlineStr">
        <is>
          <t>bmi for children and teens percentile</t>
        </is>
      </c>
      <c r="H958" s="3" t="inlineStr">
        <is>
          <t>pediatric bmi chart cdc, child bmi calculation formula, age and gender specific bmi</t>
        </is>
      </c>
      <c r="I958" s="3" t="inlineStr">
        <is>
          <t>BMI Calculator</t>
        </is>
      </c>
      <c r="J958" s="3" t="inlineStr">
        <is>
          <t>/calculators/bmi</t>
        </is>
      </c>
      <c r="K958" s="3" t="inlineStr">
        <is>
          <t>Explain CDC and IAP growth charts: why children's body composition changes rapidly during puberty, requiring age-and-gender percentiles (5th to 85th percentile = healthy).</t>
        </is>
      </c>
      <c r="L958" s="2" t="inlineStr">
        <is>
          <t>YES</t>
        </is>
      </c>
      <c r="M958" s="2" t="inlineStr">
        <is>
          <t>HIGH</t>
        </is>
      </c>
      <c r="N958" s="2" t="inlineStr">
        <is>
          <t>READY</t>
        </is>
      </c>
      <c r="O958" s="3" t="inlineStr"/>
      <c r="P958" s="3" t="inlineStr"/>
      <c r="Q958" s="3" t="inlineStr"/>
      <c r="R958" s="3" t="inlineStr"/>
    </row>
    <row r="959" ht="20" customHeight="1">
      <c r="A959" s="4" t="inlineStr">
        <is>
          <t>ST958</t>
        </is>
      </c>
      <c r="B959" s="5" t="inlineStr">
        <is>
          <t>What Does a BMI Under 18.5 Mean? Health Risks and Weight-Gain Calculations</t>
        </is>
      </c>
      <c r="C959" s="4" t="inlineStr">
        <is>
          <t>General</t>
        </is>
      </c>
      <c r="D959" s="5" t="inlineStr">
        <is>
          <t>BMI</t>
        </is>
      </c>
      <c r="E959" s="4" t="inlineStr">
        <is>
          <t>Guide</t>
        </is>
      </c>
      <c r="F959" s="4" t="inlineStr">
        <is>
          <t>Informational</t>
        </is>
      </c>
      <c r="G959" s="5" t="inlineStr">
        <is>
          <t>underweight bmi risks and calculation</t>
        </is>
      </c>
      <c r="H959" s="5" t="inlineStr">
        <is>
          <t>bmi below 18.5 meaning, how to calculate weight needed to reach normal bmi, underweight health consequences</t>
        </is>
      </c>
      <c r="I959" s="5" t="inlineStr">
        <is>
          <t>BMI Calculator</t>
        </is>
      </c>
      <c r="J959" s="5" t="inlineStr">
        <is>
          <t>/calculators/bmi</t>
        </is>
      </c>
      <c r="K959" s="5" t="inlineStr">
        <is>
          <t>Discuss nutritional deficiencies, bone density loss, immune suppression, and calculating the minimum caloric surplus needed to safely gain weight.</t>
        </is>
      </c>
      <c r="L959" s="4" t="inlineStr">
        <is>
          <t>YES</t>
        </is>
      </c>
      <c r="M959" s="4" t="inlineStr">
        <is>
          <t>HIGH</t>
        </is>
      </c>
      <c r="N959" s="4" t="inlineStr">
        <is>
          <t>READY</t>
        </is>
      </c>
      <c r="O959" s="5" t="inlineStr"/>
      <c r="P959" s="5" t="inlineStr"/>
      <c r="Q959" s="5" t="inlineStr"/>
      <c r="R959" s="5" t="inlineStr"/>
    </row>
    <row r="960" ht="20" customHeight="1">
      <c r="A960" s="2" t="inlineStr">
        <is>
          <t>ST959</t>
        </is>
      </c>
      <c r="B960" s="3" t="inlineStr">
        <is>
          <t>How Severe Obesity (Class 1, 2, and 3) Is Categorized in Medical Screening</t>
        </is>
      </c>
      <c r="C960" s="2" t="inlineStr">
        <is>
          <t>General</t>
        </is>
      </c>
      <c r="D960" s="3" t="inlineStr">
        <is>
          <t>BMI</t>
        </is>
      </c>
      <c r="E960" s="2" t="inlineStr">
        <is>
          <t>Guide</t>
        </is>
      </c>
      <c r="F960" s="2" t="inlineStr">
        <is>
          <t>Reference</t>
        </is>
      </c>
      <c r="G960" s="3" t="inlineStr">
        <is>
          <t>bmi obesity class 1 2 3 thresholds</t>
        </is>
      </c>
      <c r="H960" s="3" t="inlineStr">
        <is>
          <t>morbid obesity bmi cutoff, severe obesity definition, bariatric surgery bmi criteria india</t>
        </is>
      </c>
      <c r="I960" s="3" t="inlineStr">
        <is>
          <t>BMI Calculator</t>
        </is>
      </c>
      <c r="J960" s="3" t="inlineStr">
        <is>
          <t>/calculators/bmi</t>
        </is>
      </c>
      <c r="K960" s="3" t="inlineStr">
        <is>
          <t>Detail clinical classifications: Class 1 (BMI 30-34.9), Class 2 (35-39.9), Class 3 / Morbid (40+), and Indian bariatric surgical criteria (BMI 35+ or 32+ with comorbidities).</t>
        </is>
      </c>
      <c r="L960" s="2" t="inlineStr">
        <is>
          <t>YES</t>
        </is>
      </c>
      <c r="M960" s="2" t="inlineStr">
        <is>
          <t>HIGH</t>
        </is>
      </c>
      <c r="N960" s="2" t="inlineStr">
        <is>
          <t>READY</t>
        </is>
      </c>
      <c r="O960" s="3" t="inlineStr"/>
      <c r="P960" s="3" t="inlineStr"/>
      <c r="Q960" s="3" t="inlineStr"/>
      <c r="R960" s="3" t="inlineStr"/>
    </row>
    <row r="961" ht="20" customHeight="1">
      <c r="A961" s="4" t="inlineStr">
        <is>
          <t>ST960</t>
        </is>
      </c>
      <c r="B961" s="5" t="inlineStr">
        <is>
          <t>Basal Metabolic Rate (BMR) vs BMI: Understanding Daily Caloric Burn</t>
        </is>
      </c>
      <c r="C961" s="4" t="inlineStr">
        <is>
          <t>General</t>
        </is>
      </c>
      <c r="D961" s="5" t="inlineStr">
        <is>
          <t>BMI</t>
        </is>
      </c>
      <c r="E961" s="4" t="inlineStr">
        <is>
          <t>Comparison</t>
        </is>
      </c>
      <c r="F961" s="4" t="inlineStr">
        <is>
          <t>Educational</t>
        </is>
      </c>
      <c r="G961" s="5" t="inlineStr">
        <is>
          <t>bmr vs bmi difference</t>
        </is>
      </c>
      <c r="H961" s="5" t="inlineStr">
        <is>
          <t>how bmr is calculated harris benedict, calories burned at rest, difference between bmi and bmr</t>
        </is>
      </c>
      <c r="I961" s="5" t="inlineStr">
        <is>
          <t>BMI Calculator</t>
        </is>
      </c>
      <c r="J961" s="5" t="inlineStr">
        <is>
          <t>/calculators/bmi</t>
        </is>
      </c>
      <c r="K961" s="5" t="inlineStr">
        <is>
          <t>Contrast BMI (static screening ratio) with BMR (dynamic daily baseline calorie expenditure via Mifflin-St Jeor equation), showing how to calculate caloric deficits.</t>
        </is>
      </c>
      <c r="L961" s="4" t="inlineStr">
        <is>
          <t>YES</t>
        </is>
      </c>
      <c r="M961" s="4" t="inlineStr">
        <is>
          <t>HIGH</t>
        </is>
      </c>
      <c r="N961" s="4" t="inlineStr">
        <is>
          <t>READY</t>
        </is>
      </c>
      <c r="O961" s="5" t="inlineStr"/>
      <c r="P961" s="5" t="inlineStr"/>
      <c r="Q961" s="5" t="inlineStr"/>
      <c r="R961" s="5" t="inlineStr"/>
    </row>
    <row r="962" ht="20" customHeight="1">
      <c r="A962" s="2" t="inlineStr">
        <is>
          <t>ST961</t>
        </is>
      </c>
      <c r="B962" s="3" t="inlineStr">
        <is>
          <t>How Pregnancy Affects BMI Calculations: Pre-Pregnancy BMI vs Gestational Weight Gain</t>
        </is>
      </c>
      <c r="C962" s="2" t="inlineStr">
        <is>
          <t>General</t>
        </is>
      </c>
      <c r="D962" s="3" t="inlineStr">
        <is>
          <t>BMI</t>
        </is>
      </c>
      <c r="E962" s="2" t="inlineStr">
        <is>
          <t>Guide</t>
        </is>
      </c>
      <c r="F962" s="2" t="inlineStr">
        <is>
          <t>Reference</t>
        </is>
      </c>
      <c r="G962" s="3" t="inlineStr">
        <is>
          <t>bmi calculation during pregnancy</t>
        </is>
      </c>
      <c r="H962" s="3" t="inlineStr">
        <is>
          <t>recommended weight gain pregnancy bmi, pre pregnancy bmi categories, gestational weight gain guidelines</t>
        </is>
      </c>
      <c r="I962" s="3" t="inlineStr">
        <is>
          <t>BMI Calculator</t>
        </is>
      </c>
      <c r="J962" s="3" t="inlineStr">
        <is>
          <t>/calculators/bmi</t>
        </is>
      </c>
      <c r="K962" s="3" t="inlineStr">
        <is>
          <t>Explain why standard BMI is invalid during pregnancy, and review IOM guidelines for recommended gestational weight gain based on pre-pregnancy BMI.</t>
        </is>
      </c>
      <c r="L962" s="2" t="inlineStr">
        <is>
          <t>YES</t>
        </is>
      </c>
      <c r="M962" s="2" t="inlineStr">
        <is>
          <t>HIGH</t>
        </is>
      </c>
      <c r="N962" s="2" t="inlineStr">
        <is>
          <t>READY</t>
        </is>
      </c>
      <c r="O962" s="3" t="inlineStr"/>
      <c r="P962" s="3" t="inlineStr"/>
      <c r="Q962" s="3" t="inlineStr"/>
      <c r="R962" s="3" t="inlineStr"/>
    </row>
    <row r="963" ht="20" customHeight="1">
      <c r="A963" s="4" t="inlineStr">
        <is>
          <t>ST962</t>
        </is>
      </c>
      <c r="B963" s="5" t="inlineStr">
        <is>
          <t>Height Shrinkage with Age: How Osteoporosis Alters Senior Citizen BMI Calculations</t>
        </is>
      </c>
      <c r="C963" s="4" t="inlineStr">
        <is>
          <t>General</t>
        </is>
      </c>
      <c r="D963" s="5" t="inlineStr">
        <is>
          <t>BMI</t>
        </is>
      </c>
      <c r="E963" s="4" t="inlineStr">
        <is>
          <t>Explanation</t>
        </is>
      </c>
      <c r="F963" s="4" t="inlineStr">
        <is>
          <t>Educational</t>
        </is>
      </c>
      <c r="G963" s="5" t="inlineStr">
        <is>
          <t>how height loss affects bmi in elderly</t>
        </is>
      </c>
      <c r="H963" s="5" t="inlineStr">
        <is>
          <t>age related height shrinkage, osteoporosis and bmi distortion, senior citizen body mass index</t>
        </is>
      </c>
      <c r="I963" s="5" t="inlineStr">
        <is>
          <t>BMI Calculator</t>
        </is>
      </c>
      <c r="J963" s="5" t="inlineStr">
        <is>
          <t>/calculators/bmi</t>
        </is>
      </c>
      <c r="K963" s="5" t="inlineStr">
        <is>
          <t>Explain how spinal disc compression reduces height by 1-3 inches in older age, artificially inflating calculated BMI without any increase in body fat.</t>
        </is>
      </c>
      <c r="L963" s="4" t="inlineStr">
        <is>
          <t>YES</t>
        </is>
      </c>
      <c r="M963" s="4" t="inlineStr">
        <is>
          <t>MEDIUM</t>
        </is>
      </c>
      <c r="N963" s="4" t="inlineStr">
        <is>
          <t>READY</t>
        </is>
      </c>
      <c r="O963" s="5" t="inlineStr"/>
      <c r="P963" s="5" t="inlineStr"/>
      <c r="Q963" s="5" t="inlineStr"/>
      <c r="R963" s="5" t="inlineStr"/>
    </row>
    <row r="964" ht="20" customHeight="1">
      <c r="A964" s="2" t="inlineStr">
        <is>
          <t>ST963</t>
        </is>
      </c>
      <c r="B964" s="3" t="inlineStr">
        <is>
          <t>How to Accurately Measure Height and Weight at Home for Precise BMI Results</t>
        </is>
      </c>
      <c r="C964" s="2" t="inlineStr">
        <is>
          <t>General</t>
        </is>
      </c>
      <c r="D964" s="3" t="inlineStr">
        <is>
          <t>BMI</t>
        </is>
      </c>
      <c r="E964" s="2" t="inlineStr">
        <is>
          <t>Guide</t>
        </is>
      </c>
      <c r="F964" s="2" t="inlineStr">
        <is>
          <t>How-To</t>
        </is>
      </c>
      <c r="G964" s="3" t="inlineStr">
        <is>
          <t>how to measure height and weight accurately at home</t>
        </is>
      </c>
      <c r="H964" s="3" t="inlineStr">
        <is>
          <t>stadiometer height measurement technique, morning weighing rules, accurate bmi input</t>
        </is>
      </c>
      <c r="I964" s="3" t="inlineStr">
        <is>
          <t>BMI Calculator</t>
        </is>
      </c>
      <c r="J964" s="3" t="inlineStr">
        <is>
          <t>/calculators/bmi</t>
        </is>
      </c>
      <c r="K964" s="3" t="inlineStr">
        <is>
          <t>Best practices: measuring barefoot against a flat wall with heels and shoulders touching, and weighing first thing in the morning after voiding.</t>
        </is>
      </c>
      <c r="L964" s="2" t="inlineStr">
        <is>
          <t>YES</t>
        </is>
      </c>
      <c r="M964" s="2" t="inlineStr">
        <is>
          <t>MEDIUM</t>
        </is>
      </c>
      <c r="N964" s="2" t="inlineStr">
        <is>
          <t>READY</t>
        </is>
      </c>
      <c r="O964" s="3" t="inlineStr"/>
      <c r="P964" s="3" t="inlineStr"/>
      <c r="Q964" s="3" t="inlineStr"/>
      <c r="R964" s="3" t="inlineStr"/>
    </row>
    <row r="965" ht="20" customHeight="1">
      <c r="A965" s="4" t="inlineStr">
        <is>
          <t>ST964</t>
        </is>
      </c>
      <c r="B965" s="5" t="inlineStr">
        <is>
          <t>The 'Skinny Fat' Syndrome: Normal BMI with High Visceral Body Fat</t>
        </is>
      </c>
      <c r="C965" s="4" t="inlineStr">
        <is>
          <t>General</t>
        </is>
      </c>
      <c r="D965" s="5" t="inlineStr">
        <is>
          <t>BMI</t>
        </is>
      </c>
      <c r="E965" s="4" t="inlineStr">
        <is>
          <t>Explanation</t>
        </is>
      </c>
      <c r="F965" s="4" t="inlineStr">
        <is>
          <t>Educational</t>
        </is>
      </c>
      <c r="G965" s="5" t="inlineStr">
        <is>
          <t>skinny fat phenomenon normal bmi</t>
        </is>
      </c>
      <c r="H965" s="5" t="inlineStr">
        <is>
          <t>normal weight obesity metabolic risks, high visceral fat low muscle mass, skinny fat bmi paradox</t>
        </is>
      </c>
      <c r="I965" s="5" t="inlineStr">
        <is>
          <t>BMI Calculator</t>
        </is>
      </c>
      <c r="J965" s="5" t="inlineStr">
        <is>
          <t>/calculators/bmi</t>
        </is>
      </c>
      <c r="K965" s="5" t="inlineStr">
        <is>
          <t>Explain Normal Weight Obesity (NWO): individuals with a 'healthy' BMI (e.g. 21.5) who have dangerously high triglycerides, fatty liver, and low muscle tone.</t>
        </is>
      </c>
      <c r="L965" s="4" t="inlineStr">
        <is>
          <t>YES</t>
        </is>
      </c>
      <c r="M965" s="4" t="inlineStr">
        <is>
          <t>HIGH</t>
        </is>
      </c>
      <c r="N965" s="4" t="inlineStr">
        <is>
          <t>READY</t>
        </is>
      </c>
      <c r="O965" s="5" t="inlineStr"/>
      <c r="P965" s="5" t="inlineStr"/>
      <c r="Q965" s="5" t="inlineStr"/>
      <c r="R965" s="5" t="inlineStr"/>
    </row>
    <row r="966" ht="20" customHeight="1">
      <c r="A966" s="2" t="inlineStr">
        <is>
          <t>ST965</t>
        </is>
      </c>
      <c r="B966" s="3" t="inlineStr">
        <is>
          <t>How to Calculate Body Fat Percentage from BMI and Age: Deurenberg Formula</t>
        </is>
      </c>
      <c r="C966" s="2" t="inlineStr">
        <is>
          <t>General</t>
        </is>
      </c>
      <c r="D966" s="3" t="inlineStr">
        <is>
          <t>BMI</t>
        </is>
      </c>
      <c r="E966" s="2" t="inlineStr">
        <is>
          <t>Formula Guide</t>
        </is>
      </c>
      <c r="F966" s="2" t="inlineStr">
        <is>
          <t>How-To</t>
        </is>
      </c>
      <c r="G966" s="3" t="inlineStr">
        <is>
          <t>calculate body fat percentage from bmi formula</t>
        </is>
      </c>
      <c r="H966" s="3" t="inlineStr">
        <is>
          <t>deurenberg body fat formula, estimating body fat from bmi, adult body fat calculation</t>
        </is>
      </c>
      <c r="I966" s="3" t="inlineStr">
        <is>
          <t>BMI Calculator</t>
        </is>
      </c>
      <c r="J966" s="3" t="inlineStr">
        <is>
          <t>/calculators/bmi</t>
        </is>
      </c>
      <c r="K966" s="3" t="inlineStr">
        <is>
          <t>Formula: Adult Body Fat % = (1.20 * BMI) + (0.23 * Age) - (10.8 * Gender) - 5.4. Show worked examples comparing male and female estimations.</t>
        </is>
      </c>
      <c r="L966" s="2" t="inlineStr">
        <is>
          <t>YES</t>
        </is>
      </c>
      <c r="M966" s="2" t="inlineStr">
        <is>
          <t>HIGH</t>
        </is>
      </c>
      <c r="N966" s="2" t="inlineStr">
        <is>
          <t>READY</t>
        </is>
      </c>
      <c r="O966" s="3" t="inlineStr"/>
      <c r="P966" s="3" t="inlineStr"/>
      <c r="Q966" s="3" t="inlineStr"/>
      <c r="R966" s="3" t="inlineStr"/>
    </row>
    <row r="967" ht="20" customHeight="1">
      <c r="A967" s="4" t="inlineStr">
        <is>
          <t>ST966</t>
        </is>
      </c>
      <c r="B967" s="5" t="inlineStr">
        <is>
          <t>BMI Requirements for Military, Police, and Pilot Recruitment in India</t>
        </is>
      </c>
      <c r="C967" s="4" t="inlineStr">
        <is>
          <t>General</t>
        </is>
      </c>
      <c r="D967" s="5" t="inlineStr">
        <is>
          <t>BMI</t>
        </is>
      </c>
      <c r="E967" s="4" t="inlineStr">
        <is>
          <t>Guide</t>
        </is>
      </c>
      <c r="F967" s="4" t="inlineStr">
        <is>
          <t>Reference</t>
        </is>
      </c>
      <c r="G967" s="5" t="inlineStr">
        <is>
          <t>bmi criteria for nda cds defence exams</t>
        </is>
      </c>
      <c r="H967" s="5" t="inlineStr">
        <is>
          <t>army navy air force bmi medical standards, police sub inspector bmi limit, pilot medical examination bmi</t>
        </is>
      </c>
      <c r="I967" s="5" t="inlineStr">
        <is>
          <t>BMI Calculator</t>
        </is>
      </c>
      <c r="J967" s="5" t="inlineStr">
        <is>
          <t>/calculators/bmi</t>
        </is>
      </c>
      <c r="K967" s="5" t="inlineStr">
        <is>
          <t>Detail strict defence standards (typically BMI 18 to 25 or specialized height-weight correlation charts), and temporary rejection policies for overweight candidates.</t>
        </is>
      </c>
      <c r="L967" s="4" t="inlineStr">
        <is>
          <t>YES</t>
        </is>
      </c>
      <c r="M967" s="4" t="inlineStr">
        <is>
          <t>HIGH</t>
        </is>
      </c>
      <c r="N967" s="4" t="inlineStr">
        <is>
          <t>READY</t>
        </is>
      </c>
      <c r="O967" s="5" t="inlineStr"/>
      <c r="P967" s="5" t="inlineStr"/>
      <c r="Q967" s="5" t="inlineStr"/>
      <c r="R967" s="5" t="inlineStr"/>
    </row>
    <row r="968" ht="20" customHeight="1">
      <c r="A968" s="2" t="inlineStr">
        <is>
          <t>ST967</t>
        </is>
      </c>
      <c r="B968" s="3" t="inlineStr">
        <is>
          <t>How Water Retention and Sodium Intake Temporarily Distort Daily BMI</t>
        </is>
      </c>
      <c r="C968" s="2" t="inlineStr">
        <is>
          <t>General</t>
        </is>
      </c>
      <c r="D968" s="3" t="inlineStr">
        <is>
          <t>BMI</t>
        </is>
      </c>
      <c r="E968" s="2" t="inlineStr">
        <is>
          <t>Explanation</t>
        </is>
      </c>
      <c r="F968" s="2" t="inlineStr">
        <is>
          <t>Informational</t>
        </is>
      </c>
      <c r="G968" s="3" t="inlineStr">
        <is>
          <t>water weight fluctuation and bmi</t>
        </is>
      </c>
      <c r="H968" s="3" t="inlineStr">
        <is>
          <t>daily weight fluctuations 2 kg, sodium bloating scale weight, when to weigh yourself</t>
        </is>
      </c>
      <c r="I968" s="3" t="inlineStr">
        <is>
          <t>BMI Calculator</t>
        </is>
      </c>
      <c r="J968" s="3" t="inlineStr">
        <is>
          <t>/calculators/bmi</t>
        </is>
      </c>
      <c r="K968" s="3" t="inlineStr">
        <is>
          <t>Explain biological fluid shifts: how high-sodium meals, carb loading, or intense workouts cause 1-2 kg of glycogen water retention, skewing day-to-day BMI readings.</t>
        </is>
      </c>
      <c r="L968" s="2" t="inlineStr">
        <is>
          <t>YES</t>
        </is>
      </c>
      <c r="M968" s="2" t="inlineStr">
        <is>
          <t>MEDIUM</t>
        </is>
      </c>
      <c r="N968" s="2" t="inlineStr">
        <is>
          <t>READY</t>
        </is>
      </c>
      <c r="O968" s="3" t="inlineStr"/>
      <c r="P968" s="3" t="inlineStr"/>
      <c r="Q968" s="3" t="inlineStr"/>
      <c r="R968" s="3" t="inlineStr"/>
    </row>
    <row r="969" ht="20" customHeight="1">
      <c r="A969" s="4" t="inlineStr">
        <is>
          <t>ST968</t>
        </is>
      </c>
      <c r="B969" s="5" t="inlineStr">
        <is>
          <t>The Quetelet Index: The 19th-Century Mathematical History Behind BMI</t>
        </is>
      </c>
      <c r="C969" s="4" t="inlineStr">
        <is>
          <t>General</t>
        </is>
      </c>
      <c r="D969" s="5" t="inlineStr">
        <is>
          <t>BMI</t>
        </is>
      </c>
      <c r="E969" s="4" t="inlineStr">
        <is>
          <t>Explanation</t>
        </is>
      </c>
      <c r="F969" s="4" t="inlineStr">
        <is>
          <t>Educational</t>
        </is>
      </c>
      <c r="G969" s="5" t="inlineStr">
        <is>
          <t>history of body mass index quetelet</t>
        </is>
      </c>
      <c r="H969" s="5" t="inlineStr">
        <is>
          <t>who invented bmi adolphe quetelet, why height is squared in bmi, origins of body mass index</t>
        </is>
      </c>
      <c r="I969" s="5" t="inlineStr">
        <is>
          <t>BMI Calculator</t>
        </is>
      </c>
      <c r="J969" s="5" t="inlineStr">
        <is>
          <t>/calculators/bmi</t>
        </is>
      </c>
      <c r="K969" s="5" t="inlineStr">
        <is>
          <t>Explore Belgian mathematician Adolphe Quetelet's 1832 population statistics work, explaining why squaring height approximates volume-to-surface scaling.</t>
        </is>
      </c>
      <c r="L969" s="4" t="inlineStr">
        <is>
          <t>YES</t>
        </is>
      </c>
      <c r="M969" s="4" t="inlineStr">
        <is>
          <t>LOW</t>
        </is>
      </c>
      <c r="N969" s="4" t="inlineStr">
        <is>
          <t>READY</t>
        </is>
      </c>
      <c r="O969" s="5" t="inlineStr"/>
      <c r="P969" s="5" t="inlineStr"/>
      <c r="Q969" s="5" t="inlineStr"/>
      <c r="R969" s="5" t="inlineStr"/>
    </row>
    <row r="970" ht="20" customHeight="1">
      <c r="A970" s="2" t="inlineStr">
        <is>
          <t>ST969</t>
        </is>
      </c>
      <c r="B970" s="3" t="inlineStr">
        <is>
          <t>Trikona / New BMI Formula: How Nick Trefethen Fixed the Short vs Tall Person Bias</t>
        </is>
      </c>
      <c r="C970" s="2" t="inlineStr">
        <is>
          <t>General</t>
        </is>
      </c>
      <c r="D970" s="3" t="inlineStr">
        <is>
          <t>BMI</t>
        </is>
      </c>
      <c r="E970" s="2" t="inlineStr">
        <is>
          <t>Comparison</t>
        </is>
      </c>
      <c r="F970" s="2" t="inlineStr">
        <is>
          <t>Educational</t>
        </is>
      </c>
      <c r="G970" s="3" t="inlineStr">
        <is>
          <t>oxford new bmi formula vs standard</t>
        </is>
      </c>
      <c r="H970" s="3" t="inlineStr">
        <is>
          <t>nick trefethen new bmi formula, height 2.5 power bmi, why standard bmi hates tall people</t>
        </is>
      </c>
      <c r="I970" s="3" t="inlineStr">
        <is>
          <t>BMI Calculator</t>
        </is>
      </c>
      <c r="J970" s="3" t="inlineStr">
        <is>
          <t>/calculators/bmi</t>
        </is>
      </c>
      <c r="K970" s="3" t="inlineStr">
        <is>
          <t>Explain Oxford mathematician Nick Trefethen's alternative formula: New BMI = 1.3 * Weight / Height^2.5, which eliminates distortion for very short and tall individuals.</t>
        </is>
      </c>
      <c r="L970" s="2" t="inlineStr">
        <is>
          <t>YES</t>
        </is>
      </c>
      <c r="M970" s="2" t="inlineStr">
        <is>
          <t>HIGH</t>
        </is>
      </c>
      <c r="N970" s="2" t="inlineStr">
        <is>
          <t>READY</t>
        </is>
      </c>
      <c r="O970" s="3" t="inlineStr"/>
      <c r="P970" s="3" t="inlineStr"/>
      <c r="Q970" s="3" t="inlineStr"/>
      <c r="R970" s="3" t="inlineStr"/>
    </row>
    <row r="971" ht="20" customHeight="1">
      <c r="A971" s="4" t="inlineStr">
        <is>
          <t>ST970</t>
        </is>
      </c>
      <c r="B971" s="5" t="inlineStr">
        <is>
          <t>How Health Insurance Companies Use BMI to Surcharge or Reject Policy Applications</t>
        </is>
      </c>
      <c r="C971" s="4" t="inlineStr">
        <is>
          <t>General</t>
        </is>
      </c>
      <c r="D971" s="5" t="inlineStr">
        <is>
          <t>BMI</t>
        </is>
      </c>
      <c r="E971" s="4" t="inlineStr">
        <is>
          <t>Guide</t>
        </is>
      </c>
      <c r="F971" s="4" t="inlineStr">
        <is>
          <t>Reference</t>
        </is>
      </c>
      <c r="G971" s="5" t="inlineStr">
        <is>
          <t>health insurance premium loading high bmi</t>
        </is>
      </c>
      <c r="H971" s="5" t="inlineStr">
        <is>
          <t>insurance medical checkup bmi limit, bmi above 30 health insurance premium, underwriting bmi guidelines</t>
        </is>
      </c>
      <c r="I971" s="5" t="inlineStr">
        <is>
          <t>BMI Calculator</t>
        </is>
      </c>
      <c r="J971" s="5" t="inlineStr">
        <is>
          <t>/calculators/bmi</t>
        </is>
      </c>
      <c r="K971" s="5" t="inlineStr">
        <is>
          <t>Explain underwriting guidelines: BMIs above 30 or 32 often attract 10-30% premium loading or mandatory pre-policy medical tests for diabetes and hypertension.</t>
        </is>
      </c>
      <c r="L971" s="4" t="inlineStr">
        <is>
          <t>YES</t>
        </is>
      </c>
      <c r="M971" s="4" t="inlineStr">
        <is>
          <t>HIGH</t>
        </is>
      </c>
      <c r="N971" s="4" t="inlineStr">
        <is>
          <t>READY</t>
        </is>
      </c>
      <c r="O971" s="5" t="inlineStr"/>
      <c r="P971" s="5" t="inlineStr"/>
      <c r="Q971" s="5" t="inlineStr"/>
      <c r="R971" s="5" t="inlineStr"/>
    </row>
    <row r="972" ht="20" customHeight="1">
      <c r="A972" s="2" t="inlineStr">
        <is>
          <t>ST971</t>
        </is>
      </c>
      <c r="B972" s="3" t="inlineStr">
        <is>
          <t>Calculating Healthy Weight Gain for Muscle Hypertrophy Without Spiking BMI Unhealthily</t>
        </is>
      </c>
      <c r="C972" s="2" t="inlineStr">
        <is>
          <t>General</t>
        </is>
      </c>
      <c r="D972" s="3" t="inlineStr">
        <is>
          <t>BMI</t>
        </is>
      </c>
      <c r="E972" s="2" t="inlineStr">
        <is>
          <t>Guide</t>
        </is>
      </c>
      <c r="F972" s="2" t="inlineStr">
        <is>
          <t>Planning</t>
        </is>
      </c>
      <c r="G972" s="3" t="inlineStr">
        <is>
          <t>clean bulking weight gain rate</t>
        </is>
      </c>
      <c r="H972" s="3" t="inlineStr">
        <is>
          <t>healthy weight gain per month, muscle gain without fat bmi, caloric surplus calculation bulking</t>
        </is>
      </c>
      <c r="I972" s="3" t="inlineStr">
        <is>
          <t>BMI Calculator</t>
        </is>
      </c>
      <c r="J972" s="3" t="inlineStr">
        <is>
          <t>/calculators/bmi</t>
        </is>
      </c>
      <c r="K972" s="3" t="inlineStr">
        <is>
          <t>Provide a safe physiological rate: 0.5 to 1.0 kg per month of lean tissue via a controlled 300-500 kcal surplus, preventing rapid accumulation of visceral fat.</t>
        </is>
      </c>
      <c r="L972" s="2" t="inlineStr">
        <is>
          <t>YES</t>
        </is>
      </c>
      <c r="M972" s="2" t="inlineStr">
        <is>
          <t>MEDIUM</t>
        </is>
      </c>
      <c r="N972" s="2" t="inlineStr">
        <is>
          <t>READY</t>
        </is>
      </c>
      <c r="O972" s="3" t="inlineStr"/>
      <c r="P972" s="3" t="inlineStr"/>
      <c r="Q972" s="3" t="inlineStr"/>
      <c r="R972" s="3" t="inlineStr"/>
    </row>
    <row r="973" ht="20" customHeight="1">
      <c r="A973" s="4" t="inlineStr">
        <is>
          <t>ST972</t>
        </is>
      </c>
      <c r="B973" s="5" t="inlineStr">
        <is>
          <t>Ethnic Variations in BMI: African, European, Hispanic, and Asian Differences</t>
        </is>
      </c>
      <c r="C973" s="4" t="inlineStr">
        <is>
          <t>General</t>
        </is>
      </c>
      <c r="D973" s="5" t="inlineStr">
        <is>
          <t>BMI</t>
        </is>
      </c>
      <c r="E973" s="4" t="inlineStr">
        <is>
          <t>Comparison</t>
        </is>
      </c>
      <c r="F973" s="4" t="inlineStr">
        <is>
          <t>Educational</t>
        </is>
      </c>
      <c r="G973" s="5" t="inlineStr">
        <is>
          <t>ethnic differences in bmi cutoffs</t>
        </is>
      </c>
      <c r="H973" s="5" t="inlineStr">
        <is>
          <t>body composition across ethnicities, why one bmi cutoff does not fit all, global health standards</t>
        </is>
      </c>
      <c r="I973" s="5" t="inlineStr">
        <is>
          <t>BMI Calculator</t>
        </is>
      </c>
      <c r="J973" s="5" t="inlineStr">
        <is>
          <t>/calculators/bmi</t>
        </is>
      </c>
      <c r="K973" s="5" t="inlineStr">
        <is>
          <t>Compare skeletal density, muscularity, and visceral adiposity across global populations, justifying customized public health screening thresholds.</t>
        </is>
      </c>
      <c r="L973" s="4" t="inlineStr">
        <is>
          <t>YES</t>
        </is>
      </c>
      <c r="M973" s="4" t="inlineStr">
        <is>
          <t>MEDIUM</t>
        </is>
      </c>
      <c r="N973" s="4" t="inlineStr">
        <is>
          <t>READY</t>
        </is>
      </c>
      <c r="O973" s="5" t="inlineStr"/>
      <c r="P973" s="5" t="inlineStr"/>
      <c r="Q973" s="5" t="inlineStr"/>
      <c r="R973" s="5" t="inlineStr"/>
    </row>
    <row r="974" ht="20" customHeight="1">
      <c r="A974" s="2" t="inlineStr">
        <is>
          <t>ST973</t>
        </is>
      </c>
      <c r="B974" s="3" t="inlineStr">
        <is>
          <t>How Many Calories Does 1 BMI Point Represent in Pure Body Weight?</t>
        </is>
      </c>
      <c r="C974" s="2" t="inlineStr">
        <is>
          <t>General</t>
        </is>
      </c>
      <c r="D974" s="3" t="inlineStr">
        <is>
          <t>BMI</t>
        </is>
      </c>
      <c r="E974" s="2" t="inlineStr">
        <is>
          <t>Formula Guide</t>
        </is>
      </c>
      <c r="F974" s="2" t="inlineStr">
        <is>
          <t>Educational</t>
        </is>
      </c>
      <c r="G974" s="3" t="inlineStr">
        <is>
          <t>how many calories to drop one bmi point</t>
        </is>
      </c>
      <c r="H974" s="3" t="inlineStr">
        <is>
          <t>caloric equivalent of 1 bmi point, 7700 calories per kg fat, weight loss calorie math</t>
        </is>
      </c>
      <c r="I974" s="3" t="inlineStr">
        <is>
          <t>BMI Calculator</t>
        </is>
      </c>
      <c r="J974" s="3" t="inlineStr">
        <is>
          <t>/calculators/bmi</t>
        </is>
      </c>
      <c r="K974" s="3" t="inlineStr">
        <is>
          <t>Calculate: For an average 1.7m adult, 1 BMI unit = 2.89 kg = ~22,250 kcal of body fat deficit (at 7,700 kcal/kg), translating to ~44 days at a 500 kcal deficit.</t>
        </is>
      </c>
      <c r="L974" s="2" t="inlineStr">
        <is>
          <t>YES</t>
        </is>
      </c>
      <c r="M974" s="2" t="inlineStr">
        <is>
          <t>HIGH</t>
        </is>
      </c>
      <c r="N974" s="2" t="inlineStr">
        <is>
          <t>READY</t>
        </is>
      </c>
      <c r="O974" s="3" t="inlineStr"/>
      <c r="P974" s="3" t="inlineStr"/>
      <c r="Q974" s="3" t="inlineStr"/>
      <c r="R974" s="3" t="inlineStr"/>
    </row>
    <row r="975" ht="20" customHeight="1">
      <c r="A975" s="4" t="inlineStr">
        <is>
          <t>ST974</t>
        </is>
      </c>
      <c r="B975" s="5" t="inlineStr">
        <is>
          <t>Can You Have an Overweight BMI and Excellent Cardiovascular Fitness?</t>
        </is>
      </c>
      <c r="C975" s="4" t="inlineStr">
        <is>
          <t>General</t>
        </is>
      </c>
      <c r="D975" s="5" t="inlineStr">
        <is>
          <t>BMI</t>
        </is>
      </c>
      <c r="E975" s="4" t="inlineStr">
        <is>
          <t>Explanation</t>
        </is>
      </c>
      <c r="F975" s="4" t="inlineStr">
        <is>
          <t>Informational</t>
        </is>
      </c>
      <c r="G975" s="5" t="inlineStr">
        <is>
          <t>fit but fat concept bmi</t>
        </is>
      </c>
      <c r="H975" s="5" t="inlineStr">
        <is>
          <t>cardiorespiratory fitness vs bmi mortality, vo2 max vs body weight, metabolic health in overweight</t>
        </is>
      </c>
      <c r="I975" s="5" t="inlineStr">
        <is>
          <t>BMI Calculator</t>
        </is>
      </c>
      <c r="J975" s="5" t="inlineStr">
        <is>
          <t>/calculators/bmi</t>
        </is>
      </c>
      <c r="K975" s="5" t="inlineStr">
        <is>
          <t>Review medical literature on cardiorespiratory fitness (VO2 max) mitigating cardiovascular disease risk even among individuals categorized as overweight.</t>
        </is>
      </c>
      <c r="L975" s="4" t="inlineStr">
        <is>
          <t>YES</t>
        </is>
      </c>
      <c r="M975" s="4" t="inlineStr">
        <is>
          <t>MEDIUM</t>
        </is>
      </c>
      <c r="N975" s="4" t="inlineStr">
        <is>
          <t>READY</t>
        </is>
      </c>
      <c r="O975" s="5" t="inlineStr"/>
      <c r="P975" s="5" t="inlineStr"/>
      <c r="Q975" s="5" t="inlineStr"/>
      <c r="R975" s="5" t="inlineStr"/>
    </row>
    <row r="976" ht="20" customHeight="1">
      <c r="A976" s="2" t="inlineStr">
        <is>
          <t>ST975</t>
        </is>
      </c>
      <c r="B976" s="3" t="inlineStr">
        <is>
          <t>Summary Guide: Essential BMI Formulas, WHO vs Asian Cutoffs, and Health Metrics</t>
        </is>
      </c>
      <c r="C976" s="2" t="inlineStr">
        <is>
          <t>General</t>
        </is>
      </c>
      <c r="D976" s="3" t="inlineStr">
        <is>
          <t>BMI</t>
        </is>
      </c>
      <c r="E976" s="2" t="inlineStr">
        <is>
          <t>Formula Guide</t>
        </is>
      </c>
      <c r="F976" s="2" t="inlineStr">
        <is>
          <t>Reference</t>
        </is>
      </c>
      <c r="G976" s="3" t="inlineStr">
        <is>
          <t>bmi formulas and classification summary</t>
        </is>
      </c>
      <c r="H976" s="3" t="inlineStr">
        <is>
          <t>all bmi formulas cheat sheet, metric imperial bmi reference, healthy weight range summary</t>
        </is>
      </c>
      <c r="I976" s="3" t="inlineStr">
        <is>
          <t>BMI Calculator</t>
        </is>
      </c>
      <c r="J976" s="3" t="inlineStr">
        <is>
          <t>/calculators/bmi</t>
        </is>
      </c>
      <c r="K976" s="3" t="inlineStr">
        <is>
          <t>Consolidated reference sheet detailing metric and imperial formulas, WHO global categories, Asian Indian modified cutoffs, and ideal body weight equations.</t>
        </is>
      </c>
      <c r="L976" s="2" t="inlineStr">
        <is>
          <t>YES</t>
        </is>
      </c>
      <c r="M976" s="2" t="inlineStr">
        <is>
          <t>HIGH</t>
        </is>
      </c>
      <c r="N976" s="2" t="inlineStr">
        <is>
          <t>READY</t>
        </is>
      </c>
      <c r="O976" s="3" t="inlineStr"/>
      <c r="P976" s="3" t="inlineStr"/>
      <c r="Q976" s="3" t="inlineStr"/>
      <c r="R976" s="3" t="inlineStr"/>
    </row>
    <row r="977" ht="20" customHeight="1">
      <c r="A977" s="4" t="inlineStr">
        <is>
          <t>ST976</t>
        </is>
      </c>
      <c r="B977" s="5" t="inlineStr">
        <is>
          <t>Length Conversion Master Guide: Meters, Feet, Inches, Kilometers, and Miles Explained</t>
        </is>
      </c>
      <c r="C977" s="4" t="inlineStr">
        <is>
          <t>General</t>
        </is>
      </c>
      <c r="D977" s="5" t="inlineStr">
        <is>
          <t>Unit Conversion</t>
        </is>
      </c>
      <c r="E977" s="4" t="inlineStr">
        <is>
          <t>Formula Guide</t>
        </is>
      </c>
      <c r="F977" s="4" t="inlineStr">
        <is>
          <t>Reference</t>
        </is>
      </c>
      <c r="G977" s="5" t="inlineStr">
        <is>
          <t>length conversion formula</t>
        </is>
      </c>
      <c r="H977" s="5" t="inlineStr">
        <is>
          <t>meters to feet conversion, km to miles formula, inches to centimeters calculation, unit conversion length</t>
        </is>
      </c>
      <c r="I977" s="5" t="inlineStr">
        <is>
          <t>Unit Converter</t>
        </is>
      </c>
      <c r="J977" s="5" t="inlineStr">
        <is>
          <t>/calculators/unit-converter</t>
        </is>
      </c>
      <c r="K977" s="5" t="inlineStr">
        <is>
          <t>Complete conversion matrix: 1 meter = 3.28084 feet, 1 inch = 2.54 cm, 1 mile = 1.60934 km. Show step-by-step unit cancellation methods.</t>
        </is>
      </c>
      <c r="L977" s="4" t="inlineStr">
        <is>
          <t>YES</t>
        </is>
      </c>
      <c r="M977" s="4" t="inlineStr">
        <is>
          <t>HIGH</t>
        </is>
      </c>
      <c r="N977" s="4" t="inlineStr">
        <is>
          <t>READY</t>
        </is>
      </c>
      <c r="O977" s="5" t="inlineStr"/>
      <c r="P977" s="5" t="inlineStr"/>
      <c r="Q977" s="5" t="inlineStr"/>
      <c r="R977" s="5" t="inlineStr"/>
    </row>
    <row r="978" ht="20" customHeight="1">
      <c r="A978" s="2" t="inlineStr">
        <is>
          <t>ST977</t>
        </is>
      </c>
      <c r="B978" s="3" t="inlineStr">
        <is>
          <t>Temperature Conversion Formulas: Celsius, Fahrenheit, and Kelvin Step-by-Step</t>
        </is>
      </c>
      <c r="C978" s="2" t="inlineStr">
        <is>
          <t>General</t>
        </is>
      </c>
      <c r="D978" s="3" t="inlineStr">
        <is>
          <t>Unit Conversion</t>
        </is>
      </c>
      <c r="E978" s="2" t="inlineStr">
        <is>
          <t>Formula Guide</t>
        </is>
      </c>
      <c r="F978" s="2" t="inlineStr">
        <is>
          <t>How-To</t>
        </is>
      </c>
      <c r="G978" s="3" t="inlineStr">
        <is>
          <t>temperature conversion formula celsius fahrenheit kelvin</t>
        </is>
      </c>
      <c r="H978" s="3" t="inlineStr">
        <is>
          <t>celsius to fahrenheit formula, fahrenheit to celsius calculation, kelvin conversion formula</t>
        </is>
      </c>
      <c r="I978" s="3" t="inlineStr">
        <is>
          <t>Unit Converter</t>
        </is>
      </c>
      <c r="J978" s="3" t="inlineStr">
        <is>
          <t>/calculators/unit-converter</t>
        </is>
      </c>
      <c r="K978" s="3" t="inlineStr">
        <is>
          <t>Provide exact algebraic formulas: F = (C * 9/5) + 32, C = (F - 32) * 5/9, K = C + 273.15. Explain why -40 degrees is the exact same temperature in C and F.</t>
        </is>
      </c>
      <c r="L978" s="2" t="inlineStr">
        <is>
          <t>YES</t>
        </is>
      </c>
      <c r="M978" s="2" t="inlineStr">
        <is>
          <t>HIGH</t>
        </is>
      </c>
      <c r="N978" s="2" t="inlineStr">
        <is>
          <t>READY</t>
        </is>
      </c>
      <c r="O978" s="3" t="inlineStr"/>
      <c r="P978" s="3" t="inlineStr"/>
      <c r="Q978" s="3" t="inlineStr"/>
      <c r="R978" s="3" t="inlineStr"/>
    </row>
    <row r="979" ht="20" customHeight="1">
      <c r="A979" s="4" t="inlineStr">
        <is>
          <t>ST978</t>
        </is>
      </c>
      <c r="B979" s="5" t="inlineStr">
        <is>
          <t>Land Area Measurement Units in India: Square Feet, Acres, Hectares, Bigha, and Guntha</t>
        </is>
      </c>
      <c r="C979" s="4" t="inlineStr">
        <is>
          <t>General</t>
        </is>
      </c>
      <c r="D979" s="5" t="inlineStr">
        <is>
          <t>Unit Conversion</t>
        </is>
      </c>
      <c r="E979" s="4" t="inlineStr">
        <is>
          <t>Guide</t>
        </is>
      </c>
      <c r="F979" s="4" t="inlineStr">
        <is>
          <t>Reference</t>
        </is>
      </c>
      <c r="G979" s="5" t="inlineStr">
        <is>
          <t>indian land measurement units conversion</t>
        </is>
      </c>
      <c r="H979" s="5" t="inlineStr">
        <is>
          <t>sq ft to acre conversion, bigha to sq ft in different states, guntha to sq ft calculation</t>
        </is>
      </c>
      <c r="I979" s="5" t="inlineStr">
        <is>
          <t>Unit Converter</t>
        </is>
      </c>
      <c r="J979" s="5" t="inlineStr">
        <is>
          <t>/calculators/unit-converter</t>
        </is>
      </c>
      <c r="K979" s="5" t="inlineStr">
        <is>
          <t>Comprehensive state-wise guide: 1 Acre = 43,560 sq ft, 1 Hectare = 2.471 Acres, 1 Guntha = 1,089 sq ft, and regional variations of Bigha across UP, Bihar, and Rajasthan.</t>
        </is>
      </c>
      <c r="L979" s="4" t="inlineStr">
        <is>
          <t>YES</t>
        </is>
      </c>
      <c r="M979" s="4" t="inlineStr">
        <is>
          <t>HIGH</t>
        </is>
      </c>
      <c r="N979" s="4" t="inlineStr">
        <is>
          <t>READY</t>
        </is>
      </c>
      <c r="O979" s="5" t="inlineStr"/>
      <c r="P979" s="5" t="inlineStr"/>
      <c r="Q979" s="5" t="inlineStr"/>
      <c r="R979" s="5" t="inlineStr"/>
    </row>
    <row r="980" ht="20" customHeight="1">
      <c r="A980" s="2" t="inlineStr">
        <is>
          <t>ST979</t>
        </is>
      </c>
      <c r="B980" s="3" t="inlineStr">
        <is>
          <t>Mass and Weight Conversion: Kilograms, Pounds, Ounces, Grams, and Metric Tons</t>
        </is>
      </c>
      <c r="C980" s="2" t="inlineStr">
        <is>
          <t>General</t>
        </is>
      </c>
      <c r="D980" s="3" t="inlineStr">
        <is>
          <t>Unit Conversion</t>
        </is>
      </c>
      <c r="E980" s="2" t="inlineStr">
        <is>
          <t>Formula Guide</t>
        </is>
      </c>
      <c r="F980" s="2" t="inlineStr">
        <is>
          <t>Reference</t>
        </is>
      </c>
      <c r="G980" s="3" t="inlineStr">
        <is>
          <t>kg to lbs conversion formula</t>
        </is>
      </c>
      <c r="H980" s="3" t="inlineStr">
        <is>
          <t>kilograms to pounds calculation, grams to ounces formula, metric ton to kg conversion</t>
        </is>
      </c>
      <c r="I980" s="3" t="inlineStr">
        <is>
          <t>Unit Converter</t>
        </is>
      </c>
      <c r="J980" s="3" t="inlineStr">
        <is>
          <t>/calculators/unit-converter</t>
        </is>
      </c>
      <c r="K980" s="3" t="inlineStr">
        <is>
          <t>Exact conversion factors: 1 kg = 2.20462 lbs, 1 pound = 453.592 grams, 1 ounce = 28.3495 grams, 1 metric ton = 1,000 kg. Provide practical kitchen and gym examples.</t>
        </is>
      </c>
      <c r="L980" s="2" t="inlineStr">
        <is>
          <t>YES</t>
        </is>
      </c>
      <c r="M980" s="2" t="inlineStr">
        <is>
          <t>HIGH</t>
        </is>
      </c>
      <c r="N980" s="2" t="inlineStr">
        <is>
          <t>READY</t>
        </is>
      </c>
      <c r="O980" s="3" t="inlineStr"/>
      <c r="P980" s="3" t="inlineStr"/>
      <c r="Q980" s="3" t="inlineStr"/>
      <c r="R980" s="3" t="inlineStr"/>
    </row>
    <row r="981" ht="20" customHeight="1">
      <c r="A981" s="4" t="inlineStr">
        <is>
          <t>ST980</t>
        </is>
      </c>
      <c r="B981" s="5" t="inlineStr">
        <is>
          <t>Speed Conversion: Kilometers per Hour (km/h) to Meters per Second (m/s) and Miles per Hour (mph)</t>
        </is>
      </c>
      <c r="C981" s="4" t="inlineStr">
        <is>
          <t>General</t>
        </is>
      </c>
      <c r="D981" s="5" t="inlineStr">
        <is>
          <t>Unit Conversion</t>
        </is>
      </c>
      <c r="E981" s="4" t="inlineStr">
        <is>
          <t>Formula Guide</t>
        </is>
      </c>
      <c r="F981" s="4" t="inlineStr">
        <is>
          <t>How-To</t>
        </is>
      </c>
      <c r="G981" s="5" t="inlineStr">
        <is>
          <t>kmph to mps conversion formula</t>
        </is>
      </c>
      <c r="H981" s="5" t="inlineStr">
        <is>
          <t>multiply by 5 18 conversion, km h to m s shortcut, speed unit conversion formula</t>
        </is>
      </c>
      <c r="I981" s="5" t="inlineStr">
        <is>
          <t>Unit Converter</t>
        </is>
      </c>
      <c r="J981" s="5" t="inlineStr">
        <is>
          <t>/calculators/unit-converter</t>
        </is>
      </c>
      <c r="K981" s="5" t="inlineStr">
        <is>
          <t>Explain the famous physics shortcut: multiply by 5/18 to convert km/h to m/s, and multiply by 18/5 for the reverse. Derive from (1000 m / 3600 s).</t>
        </is>
      </c>
      <c r="L981" s="4" t="inlineStr">
        <is>
          <t>YES</t>
        </is>
      </c>
      <c r="M981" s="4" t="inlineStr">
        <is>
          <t>HIGH</t>
        </is>
      </c>
      <c r="N981" s="4" t="inlineStr">
        <is>
          <t>READY</t>
        </is>
      </c>
      <c r="O981" s="5" t="inlineStr"/>
      <c r="P981" s="5" t="inlineStr"/>
      <c r="Q981" s="5" t="inlineStr"/>
      <c r="R981" s="5" t="inlineStr"/>
    </row>
    <row r="982" ht="20" customHeight="1">
      <c r="A982" s="2" t="inlineStr">
        <is>
          <t>ST981</t>
        </is>
      </c>
      <c r="B982" s="3" t="inlineStr">
        <is>
          <t>Digital Storage Units: Megabytes (MB), Gigabytes (GB), Terabytes (TB), and Mebibytes (MiB)</t>
        </is>
      </c>
      <c r="C982" s="2" t="inlineStr">
        <is>
          <t>General</t>
        </is>
      </c>
      <c r="D982" s="3" t="inlineStr">
        <is>
          <t>Unit Conversion</t>
        </is>
      </c>
      <c r="E982" s="2" t="inlineStr">
        <is>
          <t>Explanation</t>
        </is>
      </c>
      <c r="F982" s="2" t="inlineStr">
        <is>
          <t>Educational</t>
        </is>
      </c>
      <c r="G982" s="3" t="inlineStr">
        <is>
          <t>difference between gb and gib storage</t>
        </is>
      </c>
      <c r="H982" s="3" t="inlineStr">
        <is>
          <t>1000 vs 1024 bytes, why is a 1tb hard drive only 931gb, decimal vs binary storage units</t>
        </is>
      </c>
      <c r="I982" s="3" t="inlineStr">
        <is>
          <t>Unit Converter</t>
        </is>
      </c>
      <c r="J982" s="3" t="inlineStr">
        <is>
          <t>/calculators/unit-converter</t>
        </is>
      </c>
      <c r="K982" s="3" t="inlineStr">
        <is>
          <t>Expose why formatted hard drives look smaller in Windows: storage manufacturers use decimal (1 GB = 10^9 bytes), while operating systems use binary Gibibytes (1 GiB = 2^30 bytes).</t>
        </is>
      </c>
      <c r="L982" s="2" t="inlineStr">
        <is>
          <t>YES</t>
        </is>
      </c>
      <c r="M982" s="2" t="inlineStr">
        <is>
          <t>HIGH</t>
        </is>
      </c>
      <c r="N982" s="2" t="inlineStr">
        <is>
          <t>READY</t>
        </is>
      </c>
      <c r="O982" s="3" t="inlineStr"/>
      <c r="P982" s="3" t="inlineStr"/>
      <c r="Q982" s="3" t="inlineStr"/>
      <c r="R982" s="3" t="inlineStr"/>
    </row>
    <row r="983" ht="20" customHeight="1">
      <c r="A983" s="4" t="inlineStr">
        <is>
          <t>ST982</t>
        </is>
      </c>
      <c r="B983" s="5" t="inlineStr">
        <is>
          <t>Volume and Capacity Conversion: Liters, Milliliters, Gallons, Cubic Meters, and Fluid Ounces</t>
        </is>
      </c>
      <c r="C983" s="4" t="inlineStr">
        <is>
          <t>General</t>
        </is>
      </c>
      <c r="D983" s="5" t="inlineStr">
        <is>
          <t>Unit Conversion</t>
        </is>
      </c>
      <c r="E983" s="4" t="inlineStr">
        <is>
          <t>Formula Guide</t>
        </is>
      </c>
      <c r="F983" s="4" t="inlineStr">
        <is>
          <t>Reference</t>
        </is>
      </c>
      <c r="G983" s="5" t="inlineStr">
        <is>
          <t>liters to gallons conversion formula</t>
        </is>
      </c>
      <c r="H983" s="5" t="inlineStr">
        <is>
          <t>us gallon vs imperial gallon, cubic meters to liters calculation, ml to fluid ounces</t>
        </is>
      </c>
      <c r="I983" s="5" t="inlineStr">
        <is>
          <t>Unit Converter</t>
        </is>
      </c>
      <c r="J983" s="5" t="inlineStr">
        <is>
          <t>/calculators/unit-converter</t>
        </is>
      </c>
      <c r="K983" s="5" t="inlineStr">
        <is>
          <t>Compare US liquid gallon (3.785 L) vs UK imperial gallon (4.546 L), and formulas for 1 cubic meter = 1,000 Liters.</t>
        </is>
      </c>
      <c r="L983" s="4" t="inlineStr">
        <is>
          <t>YES</t>
        </is>
      </c>
      <c r="M983" s="4" t="inlineStr">
        <is>
          <t>HIGH</t>
        </is>
      </c>
      <c r="N983" s="4" t="inlineStr">
        <is>
          <t>READY</t>
        </is>
      </c>
      <c r="O983" s="5" t="inlineStr"/>
      <c r="P983" s="5" t="inlineStr"/>
      <c r="Q983" s="5" t="inlineStr"/>
      <c r="R983" s="5" t="inlineStr"/>
    </row>
    <row r="984" ht="20" customHeight="1">
      <c r="A984" s="2" t="inlineStr">
        <is>
          <t>ST983</t>
        </is>
      </c>
      <c r="B984" s="3" t="inlineStr">
        <is>
          <t>Pressure Units Conversion: Pascals (Pa), Bar, PSI, Atmospheres (atm), and mmHg</t>
        </is>
      </c>
      <c r="C984" s="2" t="inlineStr">
        <is>
          <t>General</t>
        </is>
      </c>
      <c r="D984" s="3" t="inlineStr">
        <is>
          <t>Unit Conversion</t>
        </is>
      </c>
      <c r="E984" s="2" t="inlineStr">
        <is>
          <t>Formula Guide</t>
        </is>
      </c>
      <c r="F984" s="2" t="inlineStr">
        <is>
          <t>Reference</t>
        </is>
      </c>
      <c r="G984" s="3" t="inlineStr">
        <is>
          <t>pressure conversion formula bar psi pascal</t>
        </is>
      </c>
      <c r="H984" s="3" t="inlineStr">
        <is>
          <t>bar to psi tire pressure conversion, 1 atm in pascals, mmhg to bar calculation</t>
        </is>
      </c>
      <c r="I984" s="3" t="inlineStr">
        <is>
          <t>Unit Converter</t>
        </is>
      </c>
      <c r="J984" s="3" t="inlineStr">
        <is>
          <t>/calculators/unit-converter</t>
        </is>
      </c>
      <c r="K984" s="3" t="inlineStr">
        <is>
          <t>Provide conversion matrix for tire pressure and laboratory science: 1 bar = 14.5038 PSI = 100,000 Pa, 1 atm = 101,325 Pa = 760 mmHg.</t>
        </is>
      </c>
      <c r="L984" s="2" t="inlineStr">
        <is>
          <t>YES</t>
        </is>
      </c>
      <c r="M984" s="2" t="inlineStr">
        <is>
          <t>HIGH</t>
        </is>
      </c>
      <c r="N984" s="2" t="inlineStr">
        <is>
          <t>READY</t>
        </is>
      </c>
      <c r="O984" s="3" t="inlineStr"/>
      <c r="P984" s="3" t="inlineStr"/>
      <c r="Q984" s="3" t="inlineStr"/>
      <c r="R984" s="3" t="inlineStr"/>
    </row>
    <row r="985" ht="20" customHeight="1">
      <c r="A985" s="4" t="inlineStr">
        <is>
          <t>ST984</t>
        </is>
      </c>
      <c r="B985" s="5" t="inlineStr">
        <is>
          <t>Power and Energy Units: Watts, Kilowatts (kW), Horsepower (HP), Joules, and Calories</t>
        </is>
      </c>
      <c r="C985" s="4" t="inlineStr">
        <is>
          <t>General</t>
        </is>
      </c>
      <c r="D985" s="5" t="inlineStr">
        <is>
          <t>Unit Conversion</t>
        </is>
      </c>
      <c r="E985" s="4" t="inlineStr">
        <is>
          <t>Formula Guide</t>
        </is>
      </c>
      <c r="F985" s="4" t="inlineStr">
        <is>
          <t>Reference</t>
        </is>
      </c>
      <c r="G985" s="5" t="inlineStr">
        <is>
          <t>kw to hp conversion formula</t>
        </is>
      </c>
      <c r="H985" s="5" t="inlineStr">
        <is>
          <t>horsepower to kilowatts conversion, electrical units to kwh calculation, joules to calories</t>
        </is>
      </c>
      <c r="I985" s="5" t="inlineStr">
        <is>
          <t>Unit Converter</t>
        </is>
      </c>
      <c r="J985" s="5" t="inlineStr">
        <is>
          <t>/calculators/unit-converter</t>
        </is>
      </c>
      <c r="K985" s="5" t="inlineStr">
        <is>
          <t>Conversion rules: 1 HP (metric) = 735.5 W, 1 HP (mechanical) = 745.7 W, 1 kWh (electricity unit) = 3.6 * 10^6 Joules, 1 Calorie = 4.184 Joules.</t>
        </is>
      </c>
      <c r="L985" s="4" t="inlineStr">
        <is>
          <t>YES</t>
        </is>
      </c>
      <c r="M985" s="4" t="inlineStr">
        <is>
          <t>HIGH</t>
        </is>
      </c>
      <c r="N985" s="4" t="inlineStr">
        <is>
          <t>READY</t>
        </is>
      </c>
      <c r="O985" s="5" t="inlineStr"/>
      <c r="P985" s="5" t="inlineStr"/>
      <c r="Q985" s="5" t="inlineStr"/>
      <c r="R985" s="5" t="inlineStr"/>
    </row>
    <row r="986" ht="20" customHeight="1">
      <c r="A986" s="2" t="inlineStr">
        <is>
          <t>ST985</t>
        </is>
      </c>
      <c r="B986" s="3" t="inlineStr">
        <is>
          <t>How to Convert Fuel Economy: Kilometers per Liter (km/l) vs Miles per Gallon (mpg)</t>
        </is>
      </c>
      <c r="C986" s="2" t="inlineStr">
        <is>
          <t>General</t>
        </is>
      </c>
      <c r="D986" s="3" t="inlineStr">
        <is>
          <t>Unit Conversion</t>
        </is>
      </c>
      <c r="E986" s="2" t="inlineStr">
        <is>
          <t>Formula Guide</t>
        </is>
      </c>
      <c r="F986" s="2" t="inlineStr">
        <is>
          <t>How-To</t>
        </is>
      </c>
      <c r="G986" s="3" t="inlineStr">
        <is>
          <t>kmpl to mpg conversion formula</t>
        </is>
      </c>
      <c r="H986" s="3" t="inlineStr">
        <is>
          <t>convert km per liter to miles per gallon, l 100km to kmpl, vehicle mileage conversion</t>
        </is>
      </c>
      <c r="I986" s="3" t="inlineStr">
        <is>
          <t>Unit Converter</t>
        </is>
      </c>
      <c r="J986" s="3" t="inlineStr">
        <is>
          <t>/calculators/unit-converter</t>
        </is>
      </c>
      <c r="K986" s="3" t="inlineStr">
        <is>
          <t>Provide conversion formula: 1 km/L = 2.352 US mpg = 2.825 UK mpg. Explain European L/100km inverse consumption math: L/100km = 100 / (km/L).</t>
        </is>
      </c>
      <c r="L986" s="2" t="inlineStr">
        <is>
          <t>YES</t>
        </is>
      </c>
      <c r="M986" s="2" t="inlineStr">
        <is>
          <t>HIGH</t>
        </is>
      </c>
      <c r="N986" s="2" t="inlineStr">
        <is>
          <t>READY</t>
        </is>
      </c>
      <c r="O986" s="3" t="inlineStr"/>
      <c r="P986" s="3" t="inlineStr"/>
      <c r="Q986" s="3" t="inlineStr"/>
      <c r="R986" s="3" t="inlineStr"/>
    </row>
    <row r="987" ht="20" customHeight="1">
      <c r="A987" s="4" t="inlineStr">
        <is>
          <t>ST986</t>
        </is>
      </c>
      <c r="B987" s="5" t="inlineStr">
        <is>
          <t>Meters to Feet Conversion: Fast Mental Math and Exact Multipliers</t>
        </is>
      </c>
      <c r="C987" s="4" t="inlineStr">
        <is>
          <t>General</t>
        </is>
      </c>
      <c r="D987" s="5" t="inlineStr">
        <is>
          <t>Unit Conversion</t>
        </is>
      </c>
      <c r="E987" s="4" t="inlineStr">
        <is>
          <t>Formula Guide</t>
        </is>
      </c>
      <c r="F987" s="4" t="inlineStr">
        <is>
          <t>Educational</t>
        </is>
      </c>
      <c r="G987" s="5" t="inlineStr">
        <is>
          <t>meters to feet conversion</t>
        </is>
      </c>
      <c r="H987" s="5" t="inlineStr">
        <is>
          <t>meters to feet conversion formula, how to calculate meters to feet conversion, exact meters to feet conversion table</t>
        </is>
      </c>
      <c r="I987" s="5" t="inlineStr">
        <is>
          <t>Unit Converter</t>
        </is>
      </c>
      <c r="J987" s="5" t="inlineStr">
        <is>
          <t>/calculators/unit-converter</t>
        </is>
      </c>
      <c r="K987" s="5" t="inlineStr">
        <is>
          <t>Provide exact mathematical conversion factors, algebraic formulas, mental math shortcuts, and practical everyday examples for meters to feet conversion.</t>
        </is>
      </c>
      <c r="L987" s="4" t="inlineStr">
        <is>
          <t>YES</t>
        </is>
      </c>
      <c r="M987" s="4" t="inlineStr">
        <is>
          <t>HIGH</t>
        </is>
      </c>
      <c r="N987" s="4" t="inlineStr">
        <is>
          <t>READY</t>
        </is>
      </c>
      <c r="O987" s="5" t="inlineStr"/>
      <c r="P987" s="5" t="inlineStr"/>
      <c r="Q987" s="5" t="inlineStr"/>
      <c r="R987" s="5" t="inlineStr"/>
    </row>
    <row r="988" ht="20" customHeight="1">
      <c r="A988" s="2" t="inlineStr">
        <is>
          <t>ST987</t>
        </is>
      </c>
      <c r="B988" s="3" t="inlineStr">
        <is>
          <t>Feet to Inches Conversion: Step-by-Step Multiplication Guide</t>
        </is>
      </c>
      <c r="C988" s="2" t="inlineStr">
        <is>
          <t>General</t>
        </is>
      </c>
      <c r="D988" s="3" t="inlineStr">
        <is>
          <t>Unit Conversion</t>
        </is>
      </c>
      <c r="E988" s="2" t="inlineStr">
        <is>
          <t>Formula Guide</t>
        </is>
      </c>
      <c r="F988" s="2" t="inlineStr">
        <is>
          <t>Educational</t>
        </is>
      </c>
      <c r="G988" s="3" t="inlineStr">
        <is>
          <t>feet to inches conversion</t>
        </is>
      </c>
      <c r="H988" s="3" t="inlineStr">
        <is>
          <t>feet to inches conversion formula, how to calculate feet to inches conversion, exact feet to inches conversion table</t>
        </is>
      </c>
      <c r="I988" s="3" t="inlineStr">
        <is>
          <t>Unit Converter</t>
        </is>
      </c>
      <c r="J988" s="3" t="inlineStr">
        <is>
          <t>/calculators/unit-converter</t>
        </is>
      </c>
      <c r="K988" s="3" t="inlineStr">
        <is>
          <t>Provide exact mathematical conversion factors, algebraic formulas, mental math shortcuts, and practical everyday examples for feet to inches conversion.</t>
        </is>
      </c>
      <c r="L988" s="2" t="inlineStr">
        <is>
          <t>YES</t>
        </is>
      </c>
      <c r="M988" s="2" t="inlineStr">
        <is>
          <t>MEDIUM</t>
        </is>
      </c>
      <c r="N988" s="2" t="inlineStr">
        <is>
          <t>READY</t>
        </is>
      </c>
      <c r="O988" s="3" t="inlineStr"/>
      <c r="P988" s="3" t="inlineStr"/>
      <c r="Q988" s="3" t="inlineStr"/>
      <c r="R988" s="3" t="inlineStr"/>
    </row>
    <row r="989" ht="20" customHeight="1">
      <c r="A989" s="4" t="inlineStr">
        <is>
          <t>ST988</t>
        </is>
      </c>
      <c r="B989" s="5" t="inlineStr">
        <is>
          <t>Inches to Centimeters Conversion: Exact 2.54 Multiplication Rule</t>
        </is>
      </c>
      <c r="C989" s="4" t="inlineStr">
        <is>
          <t>General</t>
        </is>
      </c>
      <c r="D989" s="5" t="inlineStr">
        <is>
          <t>Unit Conversion</t>
        </is>
      </c>
      <c r="E989" s="4" t="inlineStr">
        <is>
          <t>Formula Guide</t>
        </is>
      </c>
      <c r="F989" s="4" t="inlineStr">
        <is>
          <t>Educational</t>
        </is>
      </c>
      <c r="G989" s="5" t="inlineStr">
        <is>
          <t>inches to cm conversion</t>
        </is>
      </c>
      <c r="H989" s="5" t="inlineStr">
        <is>
          <t>inches to cm conversion formula, how to calculate inches to cm conversion, exact inches to cm conversion table</t>
        </is>
      </c>
      <c r="I989" s="5" t="inlineStr">
        <is>
          <t>Unit Converter</t>
        </is>
      </c>
      <c r="J989" s="5" t="inlineStr">
        <is>
          <t>/calculators/unit-converter</t>
        </is>
      </c>
      <c r="K989" s="5" t="inlineStr">
        <is>
          <t>Provide exact mathematical conversion factors, algebraic formulas, mental math shortcuts, and practical everyday examples for inches to cm conversion.</t>
        </is>
      </c>
      <c r="L989" s="4" t="inlineStr">
        <is>
          <t>YES</t>
        </is>
      </c>
      <c r="M989" s="4" t="inlineStr">
        <is>
          <t>MEDIUM</t>
        </is>
      </c>
      <c r="N989" s="4" t="inlineStr">
        <is>
          <t>READY</t>
        </is>
      </c>
      <c r="O989" s="5" t="inlineStr"/>
      <c r="P989" s="5" t="inlineStr"/>
      <c r="Q989" s="5" t="inlineStr"/>
      <c r="R989" s="5" t="inlineStr"/>
    </row>
    <row r="990" ht="20" customHeight="1">
      <c r="A990" s="2" t="inlineStr">
        <is>
          <t>ST989</t>
        </is>
      </c>
      <c r="B990" s="3" t="inlineStr">
        <is>
          <t>Kilometers to Miles Conversion: Using the Fibonacci Shortcut</t>
        </is>
      </c>
      <c r="C990" s="2" t="inlineStr">
        <is>
          <t>General</t>
        </is>
      </c>
      <c r="D990" s="3" t="inlineStr">
        <is>
          <t>Unit Conversion</t>
        </is>
      </c>
      <c r="E990" s="2" t="inlineStr">
        <is>
          <t>Formula Guide</t>
        </is>
      </c>
      <c r="F990" s="2" t="inlineStr">
        <is>
          <t>Educational</t>
        </is>
      </c>
      <c r="G990" s="3" t="inlineStr">
        <is>
          <t>km to miles conversion</t>
        </is>
      </c>
      <c r="H990" s="3" t="inlineStr">
        <is>
          <t>km to miles conversion formula, how to calculate km to miles conversion, exact km to miles conversion table</t>
        </is>
      </c>
      <c r="I990" s="3" t="inlineStr">
        <is>
          <t>Unit Converter</t>
        </is>
      </c>
      <c r="J990" s="3" t="inlineStr">
        <is>
          <t>/calculators/unit-converter</t>
        </is>
      </c>
      <c r="K990" s="3" t="inlineStr">
        <is>
          <t>Provide exact mathematical conversion factors, algebraic formulas, mental math shortcuts, and practical everyday examples for km to miles conversion.</t>
        </is>
      </c>
      <c r="L990" s="2" t="inlineStr">
        <is>
          <t>YES</t>
        </is>
      </c>
      <c r="M990" s="2" t="inlineStr">
        <is>
          <t>MEDIUM</t>
        </is>
      </c>
      <c r="N990" s="2" t="inlineStr">
        <is>
          <t>READY</t>
        </is>
      </c>
      <c r="O990" s="3" t="inlineStr"/>
      <c r="P990" s="3" t="inlineStr"/>
      <c r="Q990" s="3" t="inlineStr"/>
      <c r="R990" s="3" t="inlineStr"/>
    </row>
    <row r="991" ht="20" customHeight="1">
      <c r="A991" s="4" t="inlineStr">
        <is>
          <t>ST990</t>
        </is>
      </c>
      <c r="B991" s="5" t="inlineStr">
        <is>
          <t>Miles to Kilometers Conversion: The 1.6 Multiplier Guide</t>
        </is>
      </c>
      <c r="C991" s="4" t="inlineStr">
        <is>
          <t>General</t>
        </is>
      </c>
      <c r="D991" s="5" t="inlineStr">
        <is>
          <t>Unit Conversion</t>
        </is>
      </c>
      <c r="E991" s="4" t="inlineStr">
        <is>
          <t>Formula Guide</t>
        </is>
      </c>
      <c r="F991" s="4" t="inlineStr">
        <is>
          <t>Educational</t>
        </is>
      </c>
      <c r="G991" s="5" t="inlineStr">
        <is>
          <t>miles to km conversion</t>
        </is>
      </c>
      <c r="H991" s="5" t="inlineStr">
        <is>
          <t>miles to km conversion formula, how to calculate miles to km conversion, exact miles to km conversion table</t>
        </is>
      </c>
      <c r="I991" s="5" t="inlineStr">
        <is>
          <t>Unit Converter</t>
        </is>
      </c>
      <c r="J991" s="5" t="inlineStr">
        <is>
          <t>/calculators/unit-converter</t>
        </is>
      </c>
      <c r="K991" s="5" t="inlineStr">
        <is>
          <t>Provide exact mathematical conversion factors, algebraic formulas, mental math shortcuts, and practical everyday examples for miles to km conversion.</t>
        </is>
      </c>
      <c r="L991" s="4" t="inlineStr">
        <is>
          <t>YES</t>
        </is>
      </c>
      <c r="M991" s="4" t="inlineStr">
        <is>
          <t>MEDIUM</t>
        </is>
      </c>
      <c r="N991" s="4" t="inlineStr">
        <is>
          <t>READY</t>
        </is>
      </c>
      <c r="O991" s="5" t="inlineStr"/>
      <c r="P991" s="5" t="inlineStr"/>
      <c r="Q991" s="5" t="inlineStr"/>
      <c r="R991" s="5" t="inlineStr"/>
    </row>
    <row r="992" ht="20" customHeight="1">
      <c r="A992" s="2" t="inlineStr">
        <is>
          <t>ST991</t>
        </is>
      </c>
      <c r="B992" s="3" t="inlineStr">
        <is>
          <t>Centimeters to Inches Conversion: Division vs Multiplication Shortcuts</t>
        </is>
      </c>
      <c r="C992" s="2" t="inlineStr">
        <is>
          <t>General</t>
        </is>
      </c>
      <c r="D992" s="3" t="inlineStr">
        <is>
          <t>Unit Conversion</t>
        </is>
      </c>
      <c r="E992" s="2" t="inlineStr">
        <is>
          <t>Formula Guide</t>
        </is>
      </c>
      <c r="F992" s="2" t="inlineStr">
        <is>
          <t>Educational</t>
        </is>
      </c>
      <c r="G992" s="3" t="inlineStr">
        <is>
          <t>cm to inches conversion</t>
        </is>
      </c>
      <c r="H992" s="3" t="inlineStr">
        <is>
          <t>cm to inches conversion formula, how to calculate cm to inches conversion, exact cm to inches conversion table</t>
        </is>
      </c>
      <c r="I992" s="3" t="inlineStr">
        <is>
          <t>Unit Converter</t>
        </is>
      </c>
      <c r="J992" s="3" t="inlineStr">
        <is>
          <t>/calculators/unit-converter</t>
        </is>
      </c>
      <c r="K992" s="3" t="inlineStr">
        <is>
          <t>Provide exact mathematical conversion factors, algebraic formulas, mental math shortcuts, and practical everyday examples for cm to inches conversion.</t>
        </is>
      </c>
      <c r="L992" s="2" t="inlineStr">
        <is>
          <t>YES</t>
        </is>
      </c>
      <c r="M992" s="2" t="inlineStr">
        <is>
          <t>MEDIUM</t>
        </is>
      </c>
      <c r="N992" s="2" t="inlineStr">
        <is>
          <t>READY</t>
        </is>
      </c>
      <c r="O992" s="3" t="inlineStr"/>
      <c r="P992" s="3" t="inlineStr"/>
      <c r="Q992" s="3" t="inlineStr"/>
      <c r="R992" s="3" t="inlineStr"/>
    </row>
    <row r="993" ht="20" customHeight="1">
      <c r="A993" s="4" t="inlineStr">
        <is>
          <t>ST992</t>
        </is>
      </c>
      <c r="B993" s="5" t="inlineStr">
        <is>
          <t>Square Feet to Square Yards (Gaj) in Indian Real Estate</t>
        </is>
      </c>
      <c r="C993" s="4" t="inlineStr">
        <is>
          <t>General</t>
        </is>
      </c>
      <c r="D993" s="5" t="inlineStr">
        <is>
          <t>Unit Conversion</t>
        </is>
      </c>
      <c r="E993" s="4" t="inlineStr">
        <is>
          <t>Formula Guide</t>
        </is>
      </c>
      <c r="F993" s="4" t="inlineStr">
        <is>
          <t>Educational</t>
        </is>
      </c>
      <c r="G993" s="5" t="inlineStr">
        <is>
          <t>sq ft to gaj conversion</t>
        </is>
      </c>
      <c r="H993" s="5" t="inlineStr">
        <is>
          <t>sq ft to gaj conversion formula, how to calculate sq ft to gaj conversion, exact sq ft to gaj conversion table</t>
        </is>
      </c>
      <c r="I993" s="5" t="inlineStr">
        <is>
          <t>Unit Converter</t>
        </is>
      </c>
      <c r="J993" s="5" t="inlineStr">
        <is>
          <t>/calculators/unit-converter</t>
        </is>
      </c>
      <c r="K993" s="5" t="inlineStr">
        <is>
          <t>Provide exact mathematical conversion factors, algebraic formulas, mental math shortcuts, and practical everyday examples for sq ft to gaj conversion.</t>
        </is>
      </c>
      <c r="L993" s="4" t="inlineStr">
        <is>
          <t>YES</t>
        </is>
      </c>
      <c r="M993" s="4" t="inlineStr">
        <is>
          <t>HIGH</t>
        </is>
      </c>
      <c r="N993" s="4" t="inlineStr">
        <is>
          <t>READY</t>
        </is>
      </c>
      <c r="O993" s="5" t="inlineStr"/>
      <c r="P993" s="5" t="inlineStr"/>
      <c r="Q993" s="5" t="inlineStr"/>
      <c r="R993" s="5" t="inlineStr"/>
    </row>
    <row r="994" ht="20" customHeight="1">
      <c r="A994" s="2" t="inlineStr">
        <is>
          <t>ST993</t>
        </is>
      </c>
      <c r="B994" s="3" t="inlineStr">
        <is>
          <t>Square Feet to Square Meters: Exact Conversion for Floor Plans</t>
        </is>
      </c>
      <c r="C994" s="2" t="inlineStr">
        <is>
          <t>General</t>
        </is>
      </c>
      <c r="D994" s="3" t="inlineStr">
        <is>
          <t>Unit Conversion</t>
        </is>
      </c>
      <c r="E994" s="2" t="inlineStr">
        <is>
          <t>Formula Guide</t>
        </is>
      </c>
      <c r="F994" s="2" t="inlineStr">
        <is>
          <t>Educational</t>
        </is>
      </c>
      <c r="G994" s="3" t="inlineStr">
        <is>
          <t>sq ft to sq meters conversion</t>
        </is>
      </c>
      <c r="H994" s="3" t="inlineStr">
        <is>
          <t>sq ft to sq meters conversion formula, how to calculate sq ft to sq meters conversion, exact sq ft to sq meters conversion table</t>
        </is>
      </c>
      <c r="I994" s="3" t="inlineStr">
        <is>
          <t>Unit Converter</t>
        </is>
      </c>
      <c r="J994" s="3" t="inlineStr">
        <is>
          <t>/calculators/unit-converter</t>
        </is>
      </c>
      <c r="K994" s="3" t="inlineStr">
        <is>
          <t>Provide exact mathematical conversion factors, algebraic formulas, mental math shortcuts, and practical everyday examples for sq ft to sq meters conversion.</t>
        </is>
      </c>
      <c r="L994" s="2" t="inlineStr">
        <is>
          <t>YES</t>
        </is>
      </c>
      <c r="M994" s="2" t="inlineStr">
        <is>
          <t>HIGH</t>
        </is>
      </c>
      <c r="N994" s="2" t="inlineStr">
        <is>
          <t>READY</t>
        </is>
      </c>
      <c r="O994" s="3" t="inlineStr"/>
      <c r="P994" s="3" t="inlineStr"/>
      <c r="Q994" s="3" t="inlineStr"/>
      <c r="R994" s="3" t="inlineStr"/>
    </row>
    <row r="995" ht="20" customHeight="1">
      <c r="A995" s="4" t="inlineStr">
        <is>
          <t>ST994</t>
        </is>
      </c>
      <c r="B995" s="5" t="inlineStr">
        <is>
          <t>Acres to Hectares Conversion: Agriculture and Land Survey Math</t>
        </is>
      </c>
      <c r="C995" s="4" t="inlineStr">
        <is>
          <t>General</t>
        </is>
      </c>
      <c r="D995" s="5" t="inlineStr">
        <is>
          <t>Unit Conversion</t>
        </is>
      </c>
      <c r="E995" s="4" t="inlineStr">
        <is>
          <t>Formula Guide</t>
        </is>
      </c>
      <c r="F995" s="4" t="inlineStr">
        <is>
          <t>Educational</t>
        </is>
      </c>
      <c r="G995" s="5" t="inlineStr">
        <is>
          <t>acres to hectares conversion</t>
        </is>
      </c>
      <c r="H995" s="5" t="inlineStr">
        <is>
          <t>acres to hectares conversion formula, how to calculate acres to hectares conversion, exact acres to hectares conversion table</t>
        </is>
      </c>
      <c r="I995" s="5" t="inlineStr">
        <is>
          <t>Unit Converter</t>
        </is>
      </c>
      <c r="J995" s="5" t="inlineStr">
        <is>
          <t>/calculators/unit-converter</t>
        </is>
      </c>
      <c r="K995" s="5" t="inlineStr">
        <is>
          <t>Provide exact mathematical conversion factors, algebraic formulas, mental math shortcuts, and practical everyday examples for acres to hectares conversion.</t>
        </is>
      </c>
      <c r="L995" s="4" t="inlineStr">
        <is>
          <t>YES</t>
        </is>
      </c>
      <c r="M995" s="4" t="inlineStr">
        <is>
          <t>MEDIUM</t>
        </is>
      </c>
      <c r="N995" s="4" t="inlineStr">
        <is>
          <t>READY</t>
        </is>
      </c>
      <c r="O995" s="5" t="inlineStr"/>
      <c r="P995" s="5" t="inlineStr"/>
      <c r="Q995" s="5" t="inlineStr"/>
      <c r="R995" s="5" t="inlineStr"/>
    </row>
    <row r="996" ht="20" customHeight="1">
      <c r="A996" s="2" t="inlineStr">
        <is>
          <t>ST995</t>
        </is>
      </c>
      <c r="B996" s="3" t="inlineStr">
        <is>
          <t>Hectares to Acres Conversion: Step-by-Step Calculation</t>
        </is>
      </c>
      <c r="C996" s="2" t="inlineStr">
        <is>
          <t>General</t>
        </is>
      </c>
      <c r="D996" s="3" t="inlineStr">
        <is>
          <t>Unit Conversion</t>
        </is>
      </c>
      <c r="E996" s="2" t="inlineStr">
        <is>
          <t>Formula Guide</t>
        </is>
      </c>
      <c r="F996" s="2" t="inlineStr">
        <is>
          <t>Educational</t>
        </is>
      </c>
      <c r="G996" s="3" t="inlineStr">
        <is>
          <t>hectares to acres conversion</t>
        </is>
      </c>
      <c r="H996" s="3" t="inlineStr">
        <is>
          <t>hectares to acres conversion formula, how to calculate hectares to acres conversion, exact hectares to acres conversion table</t>
        </is>
      </c>
      <c r="I996" s="3" t="inlineStr">
        <is>
          <t>Unit Converter</t>
        </is>
      </c>
      <c r="J996" s="3" t="inlineStr">
        <is>
          <t>/calculators/unit-converter</t>
        </is>
      </c>
      <c r="K996" s="3" t="inlineStr">
        <is>
          <t>Provide exact mathematical conversion factors, algebraic formulas, mental math shortcuts, and practical everyday examples for hectares to acres conversion.</t>
        </is>
      </c>
      <c r="L996" s="2" t="inlineStr">
        <is>
          <t>YES</t>
        </is>
      </c>
      <c r="M996" s="2" t="inlineStr">
        <is>
          <t>MEDIUM</t>
        </is>
      </c>
      <c r="N996" s="2" t="inlineStr">
        <is>
          <t>READY</t>
        </is>
      </c>
      <c r="O996" s="3" t="inlineStr"/>
      <c r="P996" s="3" t="inlineStr"/>
      <c r="Q996" s="3" t="inlineStr"/>
      <c r="R996" s="3" t="inlineStr"/>
    </row>
    <row r="997" ht="20" customHeight="1">
      <c r="A997" s="4" t="inlineStr">
        <is>
          <t>ST996</t>
        </is>
      </c>
      <c r="B997" s="5" t="inlineStr">
        <is>
          <t>Bigha to Acre: State-Wise Conversion Variations Across North India</t>
        </is>
      </c>
      <c r="C997" s="4" t="inlineStr">
        <is>
          <t>General</t>
        </is>
      </c>
      <c r="D997" s="5" t="inlineStr">
        <is>
          <t>Unit Conversion</t>
        </is>
      </c>
      <c r="E997" s="4" t="inlineStr">
        <is>
          <t>Formula Guide</t>
        </is>
      </c>
      <c r="F997" s="4" t="inlineStr">
        <is>
          <t>Educational</t>
        </is>
      </c>
      <c r="G997" s="5" t="inlineStr">
        <is>
          <t>bigha to acre conversion</t>
        </is>
      </c>
      <c r="H997" s="5" t="inlineStr">
        <is>
          <t>bigha to acre conversion formula, how to calculate bigha to acre conversion, exact bigha to acre conversion table</t>
        </is>
      </c>
      <c r="I997" s="5" t="inlineStr">
        <is>
          <t>Unit Converter</t>
        </is>
      </c>
      <c r="J997" s="5" t="inlineStr">
        <is>
          <t>/calculators/unit-converter</t>
        </is>
      </c>
      <c r="K997" s="5" t="inlineStr">
        <is>
          <t>Provide exact mathematical conversion factors, algebraic formulas, mental math shortcuts, and practical everyday examples for bigha to acre conversion.</t>
        </is>
      </c>
      <c r="L997" s="4" t="inlineStr">
        <is>
          <t>YES</t>
        </is>
      </c>
      <c r="M997" s="4" t="inlineStr">
        <is>
          <t>MEDIUM</t>
        </is>
      </c>
      <c r="N997" s="4" t="inlineStr">
        <is>
          <t>READY</t>
        </is>
      </c>
      <c r="O997" s="5" t="inlineStr"/>
      <c r="P997" s="5" t="inlineStr"/>
      <c r="Q997" s="5" t="inlineStr"/>
      <c r="R997" s="5" t="inlineStr"/>
    </row>
    <row r="998" ht="20" customHeight="1">
      <c r="A998" s="2" t="inlineStr">
        <is>
          <t>ST997</t>
        </is>
      </c>
      <c r="B998" s="3" t="inlineStr">
        <is>
          <t>Guntha to Square Feet: Maharashtra, Gujarat, and Karnataka Real Estate Math</t>
        </is>
      </c>
      <c r="C998" s="2" t="inlineStr">
        <is>
          <t>General</t>
        </is>
      </c>
      <c r="D998" s="3" t="inlineStr">
        <is>
          <t>Unit Conversion</t>
        </is>
      </c>
      <c r="E998" s="2" t="inlineStr">
        <is>
          <t>Formula Guide</t>
        </is>
      </c>
      <c r="F998" s="2" t="inlineStr">
        <is>
          <t>Educational</t>
        </is>
      </c>
      <c r="G998" s="3" t="inlineStr">
        <is>
          <t>guntha to sq ft conversion</t>
        </is>
      </c>
      <c r="H998" s="3" t="inlineStr">
        <is>
          <t>guntha to sq ft conversion formula, how to calculate guntha to sq ft conversion, exact guntha to sq ft conversion table</t>
        </is>
      </c>
      <c r="I998" s="3" t="inlineStr">
        <is>
          <t>Unit Converter</t>
        </is>
      </c>
      <c r="J998" s="3" t="inlineStr">
        <is>
          <t>/calculators/unit-converter</t>
        </is>
      </c>
      <c r="K998" s="3" t="inlineStr">
        <is>
          <t>Provide exact mathematical conversion factors, algebraic formulas, mental math shortcuts, and practical everyday examples for guntha to sq ft conversion.</t>
        </is>
      </c>
      <c r="L998" s="2" t="inlineStr">
        <is>
          <t>YES</t>
        </is>
      </c>
      <c r="M998" s="2" t="inlineStr">
        <is>
          <t>HIGH</t>
        </is>
      </c>
      <c r="N998" s="2" t="inlineStr">
        <is>
          <t>READY</t>
        </is>
      </c>
      <c r="O998" s="3" t="inlineStr"/>
      <c r="P998" s="3" t="inlineStr"/>
      <c r="Q998" s="3" t="inlineStr"/>
      <c r="R998" s="3" t="inlineStr"/>
    </row>
    <row r="999" ht="20" customHeight="1">
      <c r="A999" s="4" t="inlineStr">
        <is>
          <t>ST998</t>
        </is>
      </c>
      <c r="B999" s="5" t="inlineStr">
        <is>
          <t>Kilograms to Pounds: Fast Gym Weight Conversion Guide</t>
        </is>
      </c>
      <c r="C999" s="4" t="inlineStr">
        <is>
          <t>General</t>
        </is>
      </c>
      <c r="D999" s="5" t="inlineStr">
        <is>
          <t>Unit Conversion</t>
        </is>
      </c>
      <c r="E999" s="4" t="inlineStr">
        <is>
          <t>Formula Guide</t>
        </is>
      </c>
      <c r="F999" s="4" t="inlineStr">
        <is>
          <t>Educational</t>
        </is>
      </c>
      <c r="G999" s="5" t="inlineStr">
        <is>
          <t>kg to lbs conversion</t>
        </is>
      </c>
      <c r="H999" s="5" t="inlineStr">
        <is>
          <t>kg to lbs conversion formula, how to calculate kg to lbs conversion, exact kg to lbs conversion table</t>
        </is>
      </c>
      <c r="I999" s="5" t="inlineStr">
        <is>
          <t>Unit Converter</t>
        </is>
      </c>
      <c r="J999" s="5" t="inlineStr">
        <is>
          <t>/calculators/unit-converter</t>
        </is>
      </c>
      <c r="K999" s="5" t="inlineStr">
        <is>
          <t>Provide exact mathematical conversion factors, algebraic formulas, mental math shortcuts, and practical everyday examples for kg to lbs conversion.</t>
        </is>
      </c>
      <c r="L999" s="4" t="inlineStr">
        <is>
          <t>YES</t>
        </is>
      </c>
      <c r="M999" s="4" t="inlineStr">
        <is>
          <t>HIGH</t>
        </is>
      </c>
      <c r="N999" s="4" t="inlineStr">
        <is>
          <t>READY</t>
        </is>
      </c>
      <c r="O999" s="5" t="inlineStr"/>
      <c r="P999" s="5" t="inlineStr"/>
      <c r="Q999" s="5" t="inlineStr"/>
      <c r="R999" s="5" t="inlineStr"/>
    </row>
    <row r="1000" ht="20" customHeight="1">
      <c r="A1000" s="2" t="inlineStr">
        <is>
          <t>ST999</t>
        </is>
      </c>
      <c r="B1000" s="3" t="inlineStr">
        <is>
          <t>Pounds to Kilograms: Division by 2.2 Mental Math Trick</t>
        </is>
      </c>
      <c r="C1000" s="2" t="inlineStr">
        <is>
          <t>General</t>
        </is>
      </c>
      <c r="D1000" s="3" t="inlineStr">
        <is>
          <t>Unit Conversion</t>
        </is>
      </c>
      <c r="E1000" s="2" t="inlineStr">
        <is>
          <t>Formula Guide</t>
        </is>
      </c>
      <c r="F1000" s="2" t="inlineStr">
        <is>
          <t>Educational</t>
        </is>
      </c>
      <c r="G1000" s="3" t="inlineStr">
        <is>
          <t>lbs to kg conversion</t>
        </is>
      </c>
      <c r="H1000" s="3" t="inlineStr">
        <is>
          <t>lbs to kg conversion formula, how to calculate lbs to kg conversion, exact lbs to kg conversion table</t>
        </is>
      </c>
      <c r="I1000" s="3" t="inlineStr">
        <is>
          <t>Unit Converter</t>
        </is>
      </c>
      <c r="J1000" s="3" t="inlineStr">
        <is>
          <t>/calculators/unit-converter</t>
        </is>
      </c>
      <c r="K1000" s="3" t="inlineStr">
        <is>
          <t>Provide exact mathematical conversion factors, algebraic formulas, mental math shortcuts, and practical everyday examples for lbs to kg conversion.</t>
        </is>
      </c>
      <c r="L1000" s="2" t="inlineStr">
        <is>
          <t>YES</t>
        </is>
      </c>
      <c r="M1000" s="2" t="inlineStr">
        <is>
          <t>MEDIUM</t>
        </is>
      </c>
      <c r="N1000" s="2" t="inlineStr">
        <is>
          <t>READY</t>
        </is>
      </c>
      <c r="O1000" s="3" t="inlineStr"/>
      <c r="P1000" s="3" t="inlineStr"/>
      <c r="Q1000" s="3" t="inlineStr"/>
      <c r="R1000" s="3" t="inlineStr"/>
    </row>
    <row r="1001" ht="20" customHeight="1">
      <c r="A1001" s="4" t="inlineStr">
        <is>
          <t>ST1000</t>
        </is>
      </c>
      <c r="B1001" s="5" t="inlineStr">
        <is>
          <t>Grams to Ounces: Precision Kitchen Baking Conversion</t>
        </is>
      </c>
      <c r="C1001" s="4" t="inlineStr">
        <is>
          <t>General</t>
        </is>
      </c>
      <c r="D1001" s="5" t="inlineStr">
        <is>
          <t>Unit Conversion</t>
        </is>
      </c>
      <c r="E1001" s="4" t="inlineStr">
        <is>
          <t>Formula Guide</t>
        </is>
      </c>
      <c r="F1001" s="4" t="inlineStr">
        <is>
          <t>Educational</t>
        </is>
      </c>
      <c r="G1001" s="5" t="inlineStr">
        <is>
          <t>grams to ounces conversion</t>
        </is>
      </c>
      <c r="H1001" s="5" t="inlineStr">
        <is>
          <t>grams to ounces conversion formula, how to calculate grams to ounces conversion, exact grams to ounces conversion table</t>
        </is>
      </c>
      <c r="I1001" s="5" t="inlineStr">
        <is>
          <t>Unit Converter</t>
        </is>
      </c>
      <c r="J1001" s="5" t="inlineStr">
        <is>
          <t>/calculators/unit-converter</t>
        </is>
      </c>
      <c r="K1001" s="5" t="inlineStr">
        <is>
          <t>Provide exact mathematical conversion factors, algebraic formulas, mental math shortcuts, and practical everyday examples for grams to ounces conversion.</t>
        </is>
      </c>
      <c r="L1001" s="4" t="inlineStr">
        <is>
          <t>YES</t>
        </is>
      </c>
      <c r="M1001" s="4" t="inlineStr">
        <is>
          <t>MEDIUM</t>
        </is>
      </c>
      <c r="N1001" s="4" t="inlineStr">
        <is>
          <t>READY</t>
        </is>
      </c>
      <c r="O1001" s="5" t="inlineStr"/>
      <c r="P1001" s="5" t="inlineStr"/>
      <c r="Q1001" s="5" t="inlineStr"/>
      <c r="R1001" s="5" t="inlineStr"/>
    </row>
    <row r="1002" ht="20" customHeight="1">
      <c r="A1002" s="2" t="inlineStr">
        <is>
          <t>ST1001</t>
        </is>
      </c>
      <c r="B1002" s="3" t="inlineStr">
        <is>
          <t>Ounces to Grams: Exact 28.35 Multiplication Rule</t>
        </is>
      </c>
      <c r="C1002" s="2" t="inlineStr">
        <is>
          <t>General</t>
        </is>
      </c>
      <c r="D1002" s="3" t="inlineStr">
        <is>
          <t>Unit Conversion</t>
        </is>
      </c>
      <c r="E1002" s="2" t="inlineStr">
        <is>
          <t>Formula Guide</t>
        </is>
      </c>
      <c r="F1002" s="2" t="inlineStr">
        <is>
          <t>Educational</t>
        </is>
      </c>
      <c r="G1002" s="3" t="inlineStr">
        <is>
          <t>ounces to grams conversion</t>
        </is>
      </c>
      <c r="H1002" s="3" t="inlineStr">
        <is>
          <t>ounces to grams conversion formula, how to calculate ounces to grams conversion, exact ounces to grams conversion table</t>
        </is>
      </c>
      <c r="I1002" s="3" t="inlineStr">
        <is>
          <t>Unit Converter</t>
        </is>
      </c>
      <c r="J1002" s="3" t="inlineStr">
        <is>
          <t>/calculators/unit-converter</t>
        </is>
      </c>
      <c r="K1002" s="3" t="inlineStr">
        <is>
          <t>Provide exact mathematical conversion factors, algebraic formulas, mental math shortcuts, and practical everyday examples for ounces to grams conversion.</t>
        </is>
      </c>
      <c r="L1002" s="2" t="inlineStr">
        <is>
          <t>YES</t>
        </is>
      </c>
      <c r="M1002" s="2" t="inlineStr">
        <is>
          <t>MEDIUM</t>
        </is>
      </c>
      <c r="N1002" s="2" t="inlineStr">
        <is>
          <t>READY</t>
        </is>
      </c>
      <c r="O1002" s="3" t="inlineStr"/>
      <c r="P1002" s="3" t="inlineStr"/>
      <c r="Q1002" s="3" t="inlineStr"/>
      <c r="R1002" s="3" t="inlineStr"/>
    </row>
    <row r="1003" ht="20" customHeight="1">
      <c r="A1003" s="4" t="inlineStr">
        <is>
          <t>ST1002</t>
        </is>
      </c>
      <c r="B1003" s="5" t="inlineStr">
        <is>
          <t>Metric Tons to Kilograms: Understanding Bulk Cargo Weights</t>
        </is>
      </c>
      <c r="C1003" s="4" t="inlineStr">
        <is>
          <t>General</t>
        </is>
      </c>
      <c r="D1003" s="5" t="inlineStr">
        <is>
          <t>Unit Conversion</t>
        </is>
      </c>
      <c r="E1003" s="4" t="inlineStr">
        <is>
          <t>Formula Guide</t>
        </is>
      </c>
      <c r="F1003" s="4" t="inlineStr">
        <is>
          <t>Educational</t>
        </is>
      </c>
      <c r="G1003" s="5" t="inlineStr">
        <is>
          <t>metric tons to kg</t>
        </is>
      </c>
      <c r="H1003" s="5" t="inlineStr">
        <is>
          <t>metric tons to kg formula, how to calculate metric tons to kg, exact metric tons to kg table</t>
        </is>
      </c>
      <c r="I1003" s="5" t="inlineStr">
        <is>
          <t>Unit Converter</t>
        </is>
      </c>
      <c r="J1003" s="5" t="inlineStr">
        <is>
          <t>/calculators/unit-converter</t>
        </is>
      </c>
      <c r="K1003" s="5" t="inlineStr">
        <is>
          <t>Provide exact mathematical conversion factors, algebraic formulas, mental math shortcuts, and practical everyday examples for metric tons to kg.</t>
        </is>
      </c>
      <c r="L1003" s="4" t="inlineStr">
        <is>
          <t>YES</t>
        </is>
      </c>
      <c r="M1003" s="4" t="inlineStr">
        <is>
          <t>MEDIUM</t>
        </is>
      </c>
      <c r="N1003" s="4" t="inlineStr">
        <is>
          <t>READY</t>
        </is>
      </c>
      <c r="O1003" s="5" t="inlineStr"/>
      <c r="P1003" s="5" t="inlineStr"/>
      <c r="Q1003" s="5" t="inlineStr"/>
      <c r="R1003" s="5" t="inlineStr"/>
    </row>
    <row r="1004" ht="20" customHeight="1">
      <c r="A1004" s="2" t="inlineStr">
        <is>
          <t>ST1003</t>
        </is>
      </c>
      <c r="B1004" s="3" t="inlineStr">
        <is>
          <t>Milligrams to Grams: Pharmaceutical Dosage Conversion</t>
        </is>
      </c>
      <c r="C1004" s="2" t="inlineStr">
        <is>
          <t>General</t>
        </is>
      </c>
      <c r="D1004" s="3" t="inlineStr">
        <is>
          <t>Unit Conversion</t>
        </is>
      </c>
      <c r="E1004" s="2" t="inlineStr">
        <is>
          <t>Formula Guide</t>
        </is>
      </c>
      <c r="F1004" s="2" t="inlineStr">
        <is>
          <t>Educational</t>
        </is>
      </c>
      <c r="G1004" s="3" t="inlineStr">
        <is>
          <t>mg to grams conversion</t>
        </is>
      </c>
      <c r="H1004" s="3" t="inlineStr">
        <is>
          <t>mg to grams conversion formula, how to calculate mg to grams conversion, exact mg to grams conversion table</t>
        </is>
      </c>
      <c r="I1004" s="3" t="inlineStr">
        <is>
          <t>Unit Converter</t>
        </is>
      </c>
      <c r="J1004" s="3" t="inlineStr">
        <is>
          <t>/calculators/unit-converter</t>
        </is>
      </c>
      <c r="K1004" s="3" t="inlineStr">
        <is>
          <t>Provide exact mathematical conversion factors, algebraic formulas, mental math shortcuts, and practical everyday examples for mg to grams conversion.</t>
        </is>
      </c>
      <c r="L1004" s="2" t="inlineStr">
        <is>
          <t>YES</t>
        </is>
      </c>
      <c r="M1004" s="2" t="inlineStr">
        <is>
          <t>MEDIUM</t>
        </is>
      </c>
      <c r="N1004" s="2" t="inlineStr">
        <is>
          <t>READY</t>
        </is>
      </c>
      <c r="O1004" s="3" t="inlineStr"/>
      <c r="P1004" s="3" t="inlineStr"/>
      <c r="Q1004" s="3" t="inlineStr"/>
      <c r="R1004" s="3" t="inlineStr"/>
    </row>
    <row r="1005" ht="20" customHeight="1">
      <c r="A1005" s="4" t="inlineStr">
        <is>
          <t>ST1004</t>
        </is>
      </c>
      <c r="B1005" s="5" t="inlineStr">
        <is>
          <t>Celsius to Fahrenheit: The Double and Add 30 Mental Estimate</t>
        </is>
      </c>
      <c r="C1005" s="4" t="inlineStr">
        <is>
          <t>General</t>
        </is>
      </c>
      <c r="D1005" s="5" t="inlineStr">
        <is>
          <t>Unit Conversion</t>
        </is>
      </c>
      <c r="E1005" s="4" t="inlineStr">
        <is>
          <t>Formula Guide</t>
        </is>
      </c>
      <c r="F1005" s="4" t="inlineStr">
        <is>
          <t>Educational</t>
        </is>
      </c>
      <c r="G1005" s="5" t="inlineStr">
        <is>
          <t>celsius to fahrenheit conversion</t>
        </is>
      </c>
      <c r="H1005" s="5" t="inlineStr">
        <is>
          <t>celsius to fahrenheit conversion formula, how to calculate celsius to fahrenheit conversion, exact celsius to fahrenheit conversion table</t>
        </is>
      </c>
      <c r="I1005" s="5" t="inlineStr">
        <is>
          <t>Unit Converter</t>
        </is>
      </c>
      <c r="J1005" s="5" t="inlineStr">
        <is>
          <t>/calculators/unit-converter</t>
        </is>
      </c>
      <c r="K1005" s="5" t="inlineStr">
        <is>
          <t>Provide exact mathematical conversion factors, algebraic formulas, mental math shortcuts, and practical everyday examples for celsius to fahrenheit conversion.</t>
        </is>
      </c>
      <c r="L1005" s="4" t="inlineStr">
        <is>
          <t>YES</t>
        </is>
      </c>
      <c r="M1005" s="4" t="inlineStr">
        <is>
          <t>HIGH</t>
        </is>
      </c>
      <c r="N1005" s="4" t="inlineStr">
        <is>
          <t>READY</t>
        </is>
      </c>
      <c r="O1005" s="5" t="inlineStr"/>
      <c r="P1005" s="5" t="inlineStr"/>
      <c r="Q1005" s="5" t="inlineStr"/>
      <c r="R1005" s="5" t="inlineStr"/>
    </row>
    <row r="1006" ht="20" customHeight="1">
      <c r="A1006" s="2" t="inlineStr">
        <is>
          <t>ST1005</t>
        </is>
      </c>
      <c r="B1006" s="3" t="inlineStr">
        <is>
          <t>Fahrenheit to Celsius: Step-by-Step Subtraction and Division</t>
        </is>
      </c>
      <c r="C1006" s="2" t="inlineStr">
        <is>
          <t>General</t>
        </is>
      </c>
      <c r="D1006" s="3" t="inlineStr">
        <is>
          <t>Unit Conversion</t>
        </is>
      </c>
      <c r="E1006" s="2" t="inlineStr">
        <is>
          <t>Formula Guide</t>
        </is>
      </c>
      <c r="F1006" s="2" t="inlineStr">
        <is>
          <t>Educational</t>
        </is>
      </c>
      <c r="G1006" s="3" t="inlineStr">
        <is>
          <t>fahrenheit to celsius conversion</t>
        </is>
      </c>
      <c r="H1006" s="3" t="inlineStr">
        <is>
          <t>fahrenheit to celsius conversion formula, how to calculate fahrenheit to celsius conversion, exact fahrenheit to celsius conversion table</t>
        </is>
      </c>
      <c r="I1006" s="3" t="inlineStr">
        <is>
          <t>Unit Converter</t>
        </is>
      </c>
      <c r="J1006" s="3" t="inlineStr">
        <is>
          <t>/calculators/unit-converter</t>
        </is>
      </c>
      <c r="K1006" s="3" t="inlineStr">
        <is>
          <t>Provide exact mathematical conversion factors, algebraic formulas, mental math shortcuts, and practical everyday examples for fahrenheit to celsius conversion.</t>
        </is>
      </c>
      <c r="L1006" s="2" t="inlineStr">
        <is>
          <t>YES</t>
        </is>
      </c>
      <c r="M1006" s="2" t="inlineStr">
        <is>
          <t>HIGH</t>
        </is>
      </c>
      <c r="N1006" s="2" t="inlineStr">
        <is>
          <t>READY</t>
        </is>
      </c>
      <c r="O1006" s="3" t="inlineStr"/>
      <c r="P1006" s="3" t="inlineStr"/>
      <c r="Q1006" s="3" t="inlineStr"/>
      <c r="R1006" s="3" t="inlineStr"/>
    </row>
    <row r="1007" ht="20" customHeight="1">
      <c r="A1007" s="4" t="inlineStr">
        <is>
          <t>ST1006</t>
        </is>
      </c>
      <c r="B1007" s="5" t="inlineStr">
        <is>
          <t>Celsius to Kelvin: The 273.15 Constant in Chemistry Labs</t>
        </is>
      </c>
      <c r="C1007" s="4" t="inlineStr">
        <is>
          <t>General</t>
        </is>
      </c>
      <c r="D1007" s="5" t="inlineStr">
        <is>
          <t>Unit Conversion</t>
        </is>
      </c>
      <c r="E1007" s="4" t="inlineStr">
        <is>
          <t>Formula Guide</t>
        </is>
      </c>
      <c r="F1007" s="4" t="inlineStr">
        <is>
          <t>Educational</t>
        </is>
      </c>
      <c r="G1007" s="5" t="inlineStr">
        <is>
          <t>celsius to kelvin conversion</t>
        </is>
      </c>
      <c r="H1007" s="5" t="inlineStr">
        <is>
          <t>celsius to kelvin conversion formula, how to calculate celsius to kelvin conversion, exact celsius to kelvin conversion table</t>
        </is>
      </c>
      <c r="I1007" s="5" t="inlineStr">
        <is>
          <t>Unit Converter</t>
        </is>
      </c>
      <c r="J1007" s="5" t="inlineStr">
        <is>
          <t>/calculators/unit-converter</t>
        </is>
      </c>
      <c r="K1007" s="5" t="inlineStr">
        <is>
          <t>Provide exact mathematical conversion factors, algebraic formulas, mental math shortcuts, and practical everyday examples for celsius to kelvin conversion.</t>
        </is>
      </c>
      <c r="L1007" s="4" t="inlineStr">
        <is>
          <t>YES</t>
        </is>
      </c>
      <c r="M1007" s="4" t="inlineStr">
        <is>
          <t>HIGH</t>
        </is>
      </c>
      <c r="N1007" s="4" t="inlineStr">
        <is>
          <t>READY</t>
        </is>
      </c>
      <c r="O1007" s="5" t="inlineStr"/>
      <c r="P1007" s="5" t="inlineStr"/>
      <c r="Q1007" s="5" t="inlineStr"/>
      <c r="R1007" s="5" t="inlineStr"/>
    </row>
    <row r="1008" ht="20" customHeight="1">
      <c r="A1008" s="2" t="inlineStr">
        <is>
          <t>ST1007</t>
        </is>
      </c>
      <c r="B1008" s="3" t="inlineStr">
        <is>
          <t>Kilometers per Hour to Miles per Hour: Highway Speed Limit Math</t>
        </is>
      </c>
      <c r="C1008" s="2" t="inlineStr">
        <is>
          <t>General</t>
        </is>
      </c>
      <c r="D1008" s="3" t="inlineStr">
        <is>
          <t>Unit Conversion</t>
        </is>
      </c>
      <c r="E1008" s="2" t="inlineStr">
        <is>
          <t>Formula Guide</t>
        </is>
      </c>
      <c r="F1008" s="2" t="inlineStr">
        <is>
          <t>Educational</t>
        </is>
      </c>
      <c r="G1008" s="3" t="inlineStr">
        <is>
          <t>kmph to mph conversion</t>
        </is>
      </c>
      <c r="H1008" s="3" t="inlineStr">
        <is>
          <t>kmph to mph conversion formula, how to calculate kmph to mph conversion, exact kmph to mph conversion table</t>
        </is>
      </c>
      <c r="I1008" s="3" t="inlineStr">
        <is>
          <t>Unit Converter</t>
        </is>
      </c>
      <c r="J1008" s="3" t="inlineStr">
        <is>
          <t>/calculators/unit-converter</t>
        </is>
      </c>
      <c r="K1008" s="3" t="inlineStr">
        <is>
          <t>Provide exact mathematical conversion factors, algebraic formulas, mental math shortcuts, and practical everyday examples for kmph to mph conversion.</t>
        </is>
      </c>
      <c r="L1008" s="2" t="inlineStr">
        <is>
          <t>YES</t>
        </is>
      </c>
      <c r="M1008" s="2" t="inlineStr">
        <is>
          <t>MEDIUM</t>
        </is>
      </c>
      <c r="N1008" s="2" t="inlineStr">
        <is>
          <t>READY</t>
        </is>
      </c>
      <c r="O1008" s="3" t="inlineStr"/>
      <c r="P1008" s="3" t="inlineStr"/>
      <c r="Q1008" s="3" t="inlineStr"/>
      <c r="R1008" s="3" t="inlineStr"/>
    </row>
    <row r="1009" ht="20" customHeight="1">
      <c r="A1009" s="4" t="inlineStr">
        <is>
          <t>ST1008</t>
        </is>
      </c>
      <c r="B1009" s="5" t="inlineStr">
        <is>
          <t>Miles per Hour to Kilometers per Hour: Global Driving Guide</t>
        </is>
      </c>
      <c r="C1009" s="4" t="inlineStr">
        <is>
          <t>General</t>
        </is>
      </c>
      <c r="D1009" s="5" t="inlineStr">
        <is>
          <t>Unit Conversion</t>
        </is>
      </c>
      <c r="E1009" s="4" t="inlineStr">
        <is>
          <t>Formula Guide</t>
        </is>
      </c>
      <c r="F1009" s="4" t="inlineStr">
        <is>
          <t>Educational</t>
        </is>
      </c>
      <c r="G1009" s="5" t="inlineStr">
        <is>
          <t>mph to kmph conversion</t>
        </is>
      </c>
      <c r="H1009" s="5" t="inlineStr">
        <is>
          <t>mph to kmph conversion formula, how to calculate mph to kmph conversion, exact mph to kmph conversion table</t>
        </is>
      </c>
      <c r="I1009" s="5" t="inlineStr">
        <is>
          <t>Unit Converter</t>
        </is>
      </c>
      <c r="J1009" s="5" t="inlineStr">
        <is>
          <t>/calculators/unit-converter</t>
        </is>
      </c>
      <c r="K1009" s="5" t="inlineStr">
        <is>
          <t>Provide exact mathematical conversion factors, algebraic formulas, mental math shortcuts, and practical everyday examples for mph to kmph conversion.</t>
        </is>
      </c>
      <c r="L1009" s="4" t="inlineStr">
        <is>
          <t>YES</t>
        </is>
      </c>
      <c r="M1009" s="4" t="inlineStr">
        <is>
          <t>MEDIUM</t>
        </is>
      </c>
      <c r="N1009" s="4" t="inlineStr">
        <is>
          <t>READY</t>
        </is>
      </c>
      <c r="O1009" s="5" t="inlineStr"/>
      <c r="P1009" s="5" t="inlineStr"/>
      <c r="Q1009" s="5" t="inlineStr"/>
      <c r="R1009" s="5" t="inlineStr"/>
    </row>
    <row r="1010" ht="20" customHeight="1">
      <c r="A1010" s="2" t="inlineStr">
        <is>
          <t>ST1009</t>
        </is>
      </c>
      <c r="B1010" s="3" t="inlineStr">
        <is>
          <t>Meters per Second to Kilometers per Hour: The 18/5 Physics Rule</t>
        </is>
      </c>
      <c r="C1010" s="2" t="inlineStr">
        <is>
          <t>General</t>
        </is>
      </c>
      <c r="D1010" s="3" t="inlineStr">
        <is>
          <t>Unit Conversion</t>
        </is>
      </c>
      <c r="E1010" s="2" t="inlineStr">
        <is>
          <t>Formula Guide</t>
        </is>
      </c>
      <c r="F1010" s="2" t="inlineStr">
        <is>
          <t>Educational</t>
        </is>
      </c>
      <c r="G1010" s="3" t="inlineStr">
        <is>
          <t>mps to kmph conversion</t>
        </is>
      </c>
      <c r="H1010" s="3" t="inlineStr">
        <is>
          <t>mps to kmph conversion formula, how to calculate mps to kmph conversion, exact mps to kmph conversion table</t>
        </is>
      </c>
      <c r="I1010" s="3" t="inlineStr">
        <is>
          <t>Unit Converter</t>
        </is>
      </c>
      <c r="J1010" s="3" t="inlineStr">
        <is>
          <t>/calculators/unit-converter</t>
        </is>
      </c>
      <c r="K1010" s="3" t="inlineStr">
        <is>
          <t>Provide exact mathematical conversion factors, algebraic formulas, mental math shortcuts, and practical everyday examples for mps to kmph conversion.</t>
        </is>
      </c>
      <c r="L1010" s="2" t="inlineStr">
        <is>
          <t>YES</t>
        </is>
      </c>
      <c r="M1010" s="2" t="inlineStr">
        <is>
          <t>MEDIUM</t>
        </is>
      </c>
      <c r="N1010" s="2" t="inlineStr">
        <is>
          <t>READY</t>
        </is>
      </c>
      <c r="O1010" s="3" t="inlineStr"/>
      <c r="P1010" s="3" t="inlineStr"/>
      <c r="Q1010" s="3" t="inlineStr"/>
      <c r="R1010" s="3" t="inlineStr"/>
    </row>
    <row r="1011" ht="20" customHeight="1">
      <c r="A1011" s="4" t="inlineStr">
        <is>
          <t>ST1010</t>
        </is>
      </c>
      <c r="B1011" s="5" t="inlineStr">
        <is>
          <t>Gigabytes to Megabytes: Why 1024 Matters in File Transfer</t>
        </is>
      </c>
      <c r="C1011" s="4" t="inlineStr">
        <is>
          <t>General</t>
        </is>
      </c>
      <c r="D1011" s="5" t="inlineStr">
        <is>
          <t>Unit Conversion</t>
        </is>
      </c>
      <c r="E1011" s="4" t="inlineStr">
        <is>
          <t>Formula Guide</t>
        </is>
      </c>
      <c r="F1011" s="4" t="inlineStr">
        <is>
          <t>Educational</t>
        </is>
      </c>
      <c r="G1011" s="5" t="inlineStr">
        <is>
          <t>gb to mb conversion</t>
        </is>
      </c>
      <c r="H1011" s="5" t="inlineStr">
        <is>
          <t>gb to mb conversion formula, how to calculate gb to mb conversion, exact gb to mb conversion table</t>
        </is>
      </c>
      <c r="I1011" s="5" t="inlineStr">
        <is>
          <t>Unit Converter</t>
        </is>
      </c>
      <c r="J1011" s="5" t="inlineStr">
        <is>
          <t>/calculators/unit-converter</t>
        </is>
      </c>
      <c r="K1011" s="5" t="inlineStr">
        <is>
          <t>Provide exact mathematical conversion factors, algebraic formulas, mental math shortcuts, and practical everyday examples for gb to mb conversion.</t>
        </is>
      </c>
      <c r="L1011" s="4" t="inlineStr">
        <is>
          <t>YES</t>
        </is>
      </c>
      <c r="M1011" s="4" t="inlineStr">
        <is>
          <t>MEDIUM</t>
        </is>
      </c>
      <c r="N1011" s="4" t="inlineStr">
        <is>
          <t>READY</t>
        </is>
      </c>
      <c r="O1011" s="5" t="inlineStr"/>
      <c r="P1011" s="5" t="inlineStr"/>
      <c r="Q1011" s="5" t="inlineStr"/>
      <c r="R1011" s="5" t="inlineStr"/>
    </row>
    <row r="1012" ht="20" customHeight="1">
      <c r="A1012" s="2" t="inlineStr">
        <is>
          <t>ST1011</t>
        </is>
      </c>
      <c r="B1012" s="3" t="inlineStr">
        <is>
          <t>Terabytes to Gigabytes: Hard Drive and Cloud Storage Sizing</t>
        </is>
      </c>
      <c r="C1012" s="2" t="inlineStr">
        <is>
          <t>General</t>
        </is>
      </c>
      <c r="D1012" s="3" t="inlineStr">
        <is>
          <t>Unit Conversion</t>
        </is>
      </c>
      <c r="E1012" s="2" t="inlineStr">
        <is>
          <t>Formula Guide</t>
        </is>
      </c>
      <c r="F1012" s="2" t="inlineStr">
        <is>
          <t>Educational</t>
        </is>
      </c>
      <c r="G1012" s="3" t="inlineStr">
        <is>
          <t>tb to gb conversion</t>
        </is>
      </c>
      <c r="H1012" s="3" t="inlineStr">
        <is>
          <t>tb to gb conversion formula, how to calculate tb to gb conversion, exact tb to gb conversion table</t>
        </is>
      </c>
      <c r="I1012" s="3" t="inlineStr">
        <is>
          <t>Unit Converter</t>
        </is>
      </c>
      <c r="J1012" s="3" t="inlineStr">
        <is>
          <t>/calculators/unit-converter</t>
        </is>
      </c>
      <c r="K1012" s="3" t="inlineStr">
        <is>
          <t>Provide exact mathematical conversion factors, algebraic formulas, mental math shortcuts, and practical everyday examples for tb to gb conversion.</t>
        </is>
      </c>
      <c r="L1012" s="2" t="inlineStr">
        <is>
          <t>YES</t>
        </is>
      </c>
      <c r="M1012" s="2" t="inlineStr">
        <is>
          <t>MEDIUM</t>
        </is>
      </c>
      <c r="N1012" s="2" t="inlineStr">
        <is>
          <t>READY</t>
        </is>
      </c>
      <c r="O1012" s="3" t="inlineStr"/>
      <c r="P1012" s="3" t="inlineStr"/>
      <c r="Q1012" s="3" t="inlineStr"/>
      <c r="R1012" s="3" t="inlineStr"/>
    </row>
    <row r="1013" ht="20" customHeight="1">
      <c r="A1013" s="4" t="inlineStr">
        <is>
          <t>ST1012</t>
        </is>
      </c>
      <c r="B1013" s="5" t="inlineStr">
        <is>
          <t>Megabytes to Kilobytes: Document and Image Optimization Math</t>
        </is>
      </c>
      <c r="C1013" s="4" t="inlineStr">
        <is>
          <t>General</t>
        </is>
      </c>
      <c r="D1013" s="5" t="inlineStr">
        <is>
          <t>Unit Conversion</t>
        </is>
      </c>
      <c r="E1013" s="4" t="inlineStr">
        <is>
          <t>Formula Guide</t>
        </is>
      </c>
      <c r="F1013" s="4" t="inlineStr">
        <is>
          <t>Educational</t>
        </is>
      </c>
      <c r="G1013" s="5" t="inlineStr">
        <is>
          <t>mb to kb conversion</t>
        </is>
      </c>
      <c r="H1013" s="5" t="inlineStr">
        <is>
          <t>mb to kb conversion formula, how to calculate mb to kb conversion, exact mb to kb conversion table</t>
        </is>
      </c>
      <c r="I1013" s="5" t="inlineStr">
        <is>
          <t>Unit Converter</t>
        </is>
      </c>
      <c r="J1013" s="5" t="inlineStr">
        <is>
          <t>/calculators/unit-converter</t>
        </is>
      </c>
      <c r="K1013" s="5" t="inlineStr">
        <is>
          <t>Provide exact mathematical conversion factors, algebraic formulas, mental math shortcuts, and practical everyday examples for mb to kb conversion.</t>
        </is>
      </c>
      <c r="L1013" s="4" t="inlineStr">
        <is>
          <t>YES</t>
        </is>
      </c>
      <c r="M1013" s="4" t="inlineStr">
        <is>
          <t>MEDIUM</t>
        </is>
      </c>
      <c r="N1013" s="4" t="inlineStr">
        <is>
          <t>READY</t>
        </is>
      </c>
      <c r="O1013" s="5" t="inlineStr"/>
      <c r="P1013" s="5" t="inlineStr"/>
      <c r="Q1013" s="5" t="inlineStr"/>
      <c r="R1013" s="5" t="inlineStr"/>
    </row>
    <row r="1014" ht="20" customHeight="1">
      <c r="A1014" s="2" t="inlineStr">
        <is>
          <t>ST1013</t>
        </is>
      </c>
      <c r="B1014" s="3" t="inlineStr">
        <is>
          <t>Liters to Milliliters: Fast Decimal Multiplication Guide</t>
        </is>
      </c>
      <c r="C1014" s="2" t="inlineStr">
        <is>
          <t>General</t>
        </is>
      </c>
      <c r="D1014" s="3" t="inlineStr">
        <is>
          <t>Unit Conversion</t>
        </is>
      </c>
      <c r="E1014" s="2" t="inlineStr">
        <is>
          <t>Formula Guide</t>
        </is>
      </c>
      <c r="F1014" s="2" t="inlineStr">
        <is>
          <t>Educational</t>
        </is>
      </c>
      <c r="G1014" s="3" t="inlineStr">
        <is>
          <t>liters to ml conversion</t>
        </is>
      </c>
      <c r="H1014" s="3" t="inlineStr">
        <is>
          <t>liters to ml conversion formula, how to calculate liters to ml conversion, exact liters to ml conversion table</t>
        </is>
      </c>
      <c r="I1014" s="3" t="inlineStr">
        <is>
          <t>Unit Converter</t>
        </is>
      </c>
      <c r="J1014" s="3" t="inlineStr">
        <is>
          <t>/calculators/unit-converter</t>
        </is>
      </c>
      <c r="K1014" s="3" t="inlineStr">
        <is>
          <t>Provide exact mathematical conversion factors, algebraic formulas, mental math shortcuts, and practical everyday examples for liters to ml conversion.</t>
        </is>
      </c>
      <c r="L1014" s="2" t="inlineStr">
        <is>
          <t>YES</t>
        </is>
      </c>
      <c r="M1014" s="2" t="inlineStr">
        <is>
          <t>MEDIUM</t>
        </is>
      </c>
      <c r="N1014" s="2" t="inlineStr">
        <is>
          <t>READY</t>
        </is>
      </c>
      <c r="O1014" s="3" t="inlineStr"/>
      <c r="P1014" s="3" t="inlineStr"/>
      <c r="Q1014" s="3" t="inlineStr"/>
      <c r="R1014" s="3" t="inlineStr"/>
    </row>
    <row r="1015" ht="20" customHeight="1">
      <c r="A1015" s="4" t="inlineStr">
        <is>
          <t>ST1014</t>
        </is>
      </c>
      <c r="B1015" s="5" t="inlineStr">
        <is>
          <t>Liters to Gallons: Fuel Tank Capacity Conversion</t>
        </is>
      </c>
      <c r="C1015" s="4" t="inlineStr">
        <is>
          <t>General</t>
        </is>
      </c>
      <c r="D1015" s="5" t="inlineStr">
        <is>
          <t>Unit Conversion</t>
        </is>
      </c>
      <c r="E1015" s="4" t="inlineStr">
        <is>
          <t>Formula Guide</t>
        </is>
      </c>
      <c r="F1015" s="4" t="inlineStr">
        <is>
          <t>Educational</t>
        </is>
      </c>
      <c r="G1015" s="5" t="inlineStr">
        <is>
          <t>liters to gallons conversion</t>
        </is>
      </c>
      <c r="H1015" s="5" t="inlineStr">
        <is>
          <t>liters to gallons conversion formula, how to calculate liters to gallons conversion, exact liters to gallons conversion table</t>
        </is>
      </c>
      <c r="I1015" s="5" t="inlineStr">
        <is>
          <t>Unit Converter</t>
        </is>
      </c>
      <c r="J1015" s="5" t="inlineStr">
        <is>
          <t>/calculators/unit-converter</t>
        </is>
      </c>
      <c r="K1015" s="5" t="inlineStr">
        <is>
          <t>Provide exact mathematical conversion factors, algebraic formulas, mental math shortcuts, and practical everyday examples for liters to gallons conversion.</t>
        </is>
      </c>
      <c r="L1015" s="4" t="inlineStr">
        <is>
          <t>YES</t>
        </is>
      </c>
      <c r="M1015" s="4" t="inlineStr">
        <is>
          <t>MEDIUM</t>
        </is>
      </c>
      <c r="N1015" s="4" t="inlineStr">
        <is>
          <t>READY</t>
        </is>
      </c>
      <c r="O1015" s="5" t="inlineStr"/>
      <c r="P1015" s="5" t="inlineStr"/>
      <c r="Q1015" s="5" t="inlineStr"/>
      <c r="R1015" s="5" t="inlineStr"/>
    </row>
    <row r="1016" ht="20" customHeight="1">
      <c r="A1016" s="2" t="inlineStr">
        <is>
          <t>ST1015</t>
        </is>
      </c>
      <c r="B1016" s="3" t="inlineStr">
        <is>
          <t>Cubic Meters to Liters: Water Tank Capacity Calculation</t>
        </is>
      </c>
      <c r="C1016" s="2" t="inlineStr">
        <is>
          <t>General</t>
        </is>
      </c>
      <c r="D1016" s="3" t="inlineStr">
        <is>
          <t>Unit Conversion</t>
        </is>
      </c>
      <c r="E1016" s="2" t="inlineStr">
        <is>
          <t>Formula Guide</t>
        </is>
      </c>
      <c r="F1016" s="2" t="inlineStr">
        <is>
          <t>Educational</t>
        </is>
      </c>
      <c r="G1016" s="3" t="inlineStr">
        <is>
          <t>cubic meters to liters</t>
        </is>
      </c>
      <c r="H1016" s="3" t="inlineStr">
        <is>
          <t>cubic meters to liters formula, how to calculate cubic meters to liters, exact cubic meters to liters table</t>
        </is>
      </c>
      <c r="I1016" s="3" t="inlineStr">
        <is>
          <t>Unit Converter</t>
        </is>
      </c>
      <c r="J1016" s="3" t="inlineStr">
        <is>
          <t>/calculators/unit-converter</t>
        </is>
      </c>
      <c r="K1016" s="3" t="inlineStr">
        <is>
          <t>Provide exact mathematical conversion factors, algebraic formulas, mental math shortcuts, and practical everyday examples for cubic meters to liters.</t>
        </is>
      </c>
      <c r="L1016" s="2" t="inlineStr">
        <is>
          <t>YES</t>
        </is>
      </c>
      <c r="M1016" s="2" t="inlineStr">
        <is>
          <t>MEDIUM</t>
        </is>
      </c>
      <c r="N1016" s="2" t="inlineStr">
        <is>
          <t>READY</t>
        </is>
      </c>
      <c r="O1016" s="3" t="inlineStr"/>
      <c r="P1016" s="3" t="inlineStr"/>
      <c r="Q1016" s="3" t="inlineStr"/>
      <c r="R1016" s="3" t="inlineStr"/>
    </row>
    <row r="1017" ht="20" customHeight="1">
      <c r="A1017" s="4" t="inlineStr">
        <is>
          <t>ST1016</t>
        </is>
      </c>
      <c r="B1017" s="5" t="inlineStr">
        <is>
          <t>Bar to PSI: Tire Pressure Gauge Conversion Table</t>
        </is>
      </c>
      <c r="C1017" s="4" t="inlineStr">
        <is>
          <t>General</t>
        </is>
      </c>
      <c r="D1017" s="5" t="inlineStr">
        <is>
          <t>Unit Conversion</t>
        </is>
      </c>
      <c r="E1017" s="4" t="inlineStr">
        <is>
          <t>Formula Guide</t>
        </is>
      </c>
      <c r="F1017" s="4" t="inlineStr">
        <is>
          <t>Educational</t>
        </is>
      </c>
      <c r="G1017" s="5" t="inlineStr">
        <is>
          <t>bar to psi conversion</t>
        </is>
      </c>
      <c r="H1017" s="5" t="inlineStr">
        <is>
          <t>bar to psi conversion formula, how to calculate bar to psi conversion, exact bar to psi conversion table</t>
        </is>
      </c>
      <c r="I1017" s="5" t="inlineStr">
        <is>
          <t>Unit Converter</t>
        </is>
      </c>
      <c r="J1017" s="5" t="inlineStr">
        <is>
          <t>/calculators/unit-converter</t>
        </is>
      </c>
      <c r="K1017" s="5" t="inlineStr">
        <is>
          <t>Provide exact mathematical conversion factors, algebraic formulas, mental math shortcuts, and practical everyday examples for bar to psi conversion.</t>
        </is>
      </c>
      <c r="L1017" s="4" t="inlineStr">
        <is>
          <t>YES</t>
        </is>
      </c>
      <c r="M1017" s="4" t="inlineStr">
        <is>
          <t>MEDIUM</t>
        </is>
      </c>
      <c r="N1017" s="4" t="inlineStr">
        <is>
          <t>READY</t>
        </is>
      </c>
      <c r="O1017" s="5" t="inlineStr"/>
      <c r="P1017" s="5" t="inlineStr"/>
      <c r="Q1017" s="5" t="inlineStr"/>
      <c r="R1017" s="5" t="inlineStr"/>
    </row>
    <row r="1018" ht="20" customHeight="1">
      <c r="A1018" s="2" t="inlineStr">
        <is>
          <t>ST1017</t>
        </is>
      </c>
      <c r="B1018" s="3" t="inlineStr">
        <is>
          <t>PSI to Bar: Setting Accurate Vehicle Tire Pressures</t>
        </is>
      </c>
      <c r="C1018" s="2" t="inlineStr">
        <is>
          <t>General</t>
        </is>
      </c>
      <c r="D1018" s="3" t="inlineStr">
        <is>
          <t>Unit Conversion</t>
        </is>
      </c>
      <c r="E1018" s="2" t="inlineStr">
        <is>
          <t>Formula Guide</t>
        </is>
      </c>
      <c r="F1018" s="2" t="inlineStr">
        <is>
          <t>Educational</t>
        </is>
      </c>
      <c r="G1018" s="3" t="inlineStr">
        <is>
          <t>psi to bar conversion</t>
        </is>
      </c>
      <c r="H1018" s="3" t="inlineStr">
        <is>
          <t>psi to bar conversion formula, how to calculate psi to bar conversion, exact psi to bar conversion table</t>
        </is>
      </c>
      <c r="I1018" s="3" t="inlineStr">
        <is>
          <t>Unit Converter</t>
        </is>
      </c>
      <c r="J1018" s="3" t="inlineStr">
        <is>
          <t>/calculators/unit-converter</t>
        </is>
      </c>
      <c r="K1018" s="3" t="inlineStr">
        <is>
          <t>Provide exact mathematical conversion factors, algebraic formulas, mental math shortcuts, and practical everyday examples for psi to bar conversion.</t>
        </is>
      </c>
      <c r="L1018" s="2" t="inlineStr">
        <is>
          <t>YES</t>
        </is>
      </c>
      <c r="M1018" s="2" t="inlineStr">
        <is>
          <t>MEDIUM</t>
        </is>
      </c>
      <c r="N1018" s="2" t="inlineStr">
        <is>
          <t>READY</t>
        </is>
      </c>
      <c r="O1018" s="3" t="inlineStr"/>
      <c r="P1018" s="3" t="inlineStr"/>
      <c r="Q1018" s="3" t="inlineStr"/>
      <c r="R1018" s="3" t="inlineStr"/>
    </row>
    <row r="1019" ht="20" customHeight="1">
      <c r="A1019" s="4" t="inlineStr">
        <is>
          <t>ST1018</t>
        </is>
      </c>
      <c r="B1019" s="5" t="inlineStr">
        <is>
          <t>Kilowatts to Horsepower: Automotive Engine Power Math</t>
        </is>
      </c>
      <c r="C1019" s="4" t="inlineStr">
        <is>
          <t>General</t>
        </is>
      </c>
      <c r="D1019" s="5" t="inlineStr">
        <is>
          <t>Unit Conversion</t>
        </is>
      </c>
      <c r="E1019" s="4" t="inlineStr">
        <is>
          <t>Formula Guide</t>
        </is>
      </c>
      <c r="F1019" s="4" t="inlineStr">
        <is>
          <t>Educational</t>
        </is>
      </c>
      <c r="G1019" s="5" t="inlineStr">
        <is>
          <t>kw to hp conversion</t>
        </is>
      </c>
      <c r="H1019" s="5" t="inlineStr">
        <is>
          <t>kw to hp conversion formula, how to calculate kw to hp conversion, exact kw to hp conversion table</t>
        </is>
      </c>
      <c r="I1019" s="5" t="inlineStr">
        <is>
          <t>Unit Converter</t>
        </is>
      </c>
      <c r="J1019" s="5" t="inlineStr">
        <is>
          <t>/calculators/unit-converter</t>
        </is>
      </c>
      <c r="K1019" s="5" t="inlineStr">
        <is>
          <t>Provide exact mathematical conversion factors, algebraic formulas, mental math shortcuts, and practical everyday examples for kw to hp conversion.</t>
        </is>
      </c>
      <c r="L1019" s="4" t="inlineStr">
        <is>
          <t>YES</t>
        </is>
      </c>
      <c r="M1019" s="4" t="inlineStr">
        <is>
          <t>MEDIUM</t>
        </is>
      </c>
      <c r="N1019" s="4" t="inlineStr">
        <is>
          <t>READY</t>
        </is>
      </c>
      <c r="O1019" s="5" t="inlineStr"/>
      <c r="P1019" s="5" t="inlineStr"/>
      <c r="Q1019" s="5" t="inlineStr"/>
      <c r="R1019" s="5" t="inlineStr"/>
    </row>
    <row r="1020" ht="20" customHeight="1">
      <c r="A1020" s="2" t="inlineStr">
        <is>
          <t>ST1019</t>
        </is>
      </c>
      <c r="B1020" s="3" t="inlineStr">
        <is>
          <t>Horsepower to Kilowatts: Industrial Motor Power Ratings</t>
        </is>
      </c>
      <c r="C1020" s="2" t="inlineStr">
        <is>
          <t>General</t>
        </is>
      </c>
      <c r="D1020" s="3" t="inlineStr">
        <is>
          <t>Unit Conversion</t>
        </is>
      </c>
      <c r="E1020" s="2" t="inlineStr">
        <is>
          <t>Formula Guide</t>
        </is>
      </c>
      <c r="F1020" s="2" t="inlineStr">
        <is>
          <t>Educational</t>
        </is>
      </c>
      <c r="G1020" s="3" t="inlineStr">
        <is>
          <t>hp to kw conversion</t>
        </is>
      </c>
      <c r="H1020" s="3" t="inlineStr">
        <is>
          <t>hp to kw conversion formula, how to calculate hp to kw conversion, exact hp to kw conversion table</t>
        </is>
      </c>
      <c r="I1020" s="3" t="inlineStr">
        <is>
          <t>Unit Converter</t>
        </is>
      </c>
      <c r="J1020" s="3" t="inlineStr">
        <is>
          <t>/calculators/unit-converter</t>
        </is>
      </c>
      <c r="K1020" s="3" t="inlineStr">
        <is>
          <t>Provide exact mathematical conversion factors, algebraic formulas, mental math shortcuts, and practical everyday examples for hp to kw conversion.</t>
        </is>
      </c>
      <c r="L1020" s="2" t="inlineStr">
        <is>
          <t>YES</t>
        </is>
      </c>
      <c r="M1020" s="2" t="inlineStr">
        <is>
          <t>MEDIUM</t>
        </is>
      </c>
      <c r="N1020" s="2" t="inlineStr">
        <is>
          <t>READY</t>
        </is>
      </c>
      <c r="O1020" s="3" t="inlineStr"/>
      <c r="P1020" s="3" t="inlineStr"/>
      <c r="Q1020" s="3" t="inlineStr"/>
      <c r="R1020" s="3" t="inlineStr"/>
    </row>
    <row r="1021" ht="20" customHeight="1">
      <c r="A1021" s="4" t="inlineStr">
        <is>
          <t>ST1020</t>
        </is>
      </c>
      <c r="B1021" s="5" t="inlineStr">
        <is>
          <t>Joules to Calories: Food Energy vs Scientific Heat Transfer</t>
        </is>
      </c>
      <c r="C1021" s="4" t="inlineStr">
        <is>
          <t>General</t>
        </is>
      </c>
      <c r="D1021" s="5" t="inlineStr">
        <is>
          <t>Unit Conversion</t>
        </is>
      </c>
      <c r="E1021" s="4" t="inlineStr">
        <is>
          <t>Formula Guide</t>
        </is>
      </c>
      <c r="F1021" s="4" t="inlineStr">
        <is>
          <t>Educational</t>
        </is>
      </c>
      <c r="G1021" s="5" t="inlineStr">
        <is>
          <t>joules to calories conversion</t>
        </is>
      </c>
      <c r="H1021" s="5" t="inlineStr">
        <is>
          <t>joules to calories conversion formula, how to calculate joules to calories conversion, exact joules to calories conversion table</t>
        </is>
      </c>
      <c r="I1021" s="5" t="inlineStr">
        <is>
          <t>Unit Converter</t>
        </is>
      </c>
      <c r="J1021" s="5" t="inlineStr">
        <is>
          <t>/calculators/unit-converter</t>
        </is>
      </c>
      <c r="K1021" s="5" t="inlineStr">
        <is>
          <t>Provide exact mathematical conversion factors, algebraic formulas, mental math shortcuts, and practical everyday examples for joules to calories conversion.</t>
        </is>
      </c>
      <c r="L1021" s="4" t="inlineStr">
        <is>
          <t>YES</t>
        </is>
      </c>
      <c r="M1021" s="4" t="inlineStr">
        <is>
          <t>MEDIUM</t>
        </is>
      </c>
      <c r="N1021" s="4" t="inlineStr">
        <is>
          <t>READY</t>
        </is>
      </c>
      <c r="O1021" s="5" t="inlineStr"/>
      <c r="P1021" s="5" t="inlineStr"/>
      <c r="Q1021" s="5" t="inlineStr"/>
      <c r="R1021" s="5" t="inlineStr"/>
    </row>
    <row r="1022" ht="20" customHeight="1">
      <c r="A1022" s="2" t="inlineStr">
        <is>
          <t>ST1021</t>
        </is>
      </c>
      <c r="B1022" s="3" t="inlineStr">
        <is>
          <t>How to Calculate Exact Days Between Two Dates: The Mathematics of Calendar Intervals</t>
        </is>
      </c>
      <c r="C1022" s="2" t="inlineStr">
        <is>
          <t>General</t>
        </is>
      </c>
      <c r="D1022" s="3" t="inlineStr">
        <is>
          <t>Date</t>
        </is>
      </c>
      <c r="E1022" s="2" t="inlineStr">
        <is>
          <t>Formula Guide</t>
        </is>
      </c>
      <c r="F1022" s="2" t="inlineStr">
        <is>
          <t>How-To</t>
        </is>
      </c>
      <c r="G1022" s="3" t="inlineStr">
        <is>
          <t>how to calculate days between two dates</t>
        </is>
      </c>
      <c r="H1022" s="3" t="inlineStr">
        <is>
          <t>date difference formula, days between dates calculation, calendar math formula</t>
        </is>
      </c>
      <c r="I1022" s="3" t="inlineStr">
        <is>
          <t>Date Calculator</t>
        </is>
      </c>
      <c r="J1022" s="3" t="inlineStr">
        <is>
          <t>/calculators/date</t>
        </is>
      </c>
      <c r="K1022" s="3" t="inlineStr">
        <is>
          <t>Explain the algorithm: accounting for unequal month lengths (28, 30, 31 days), leap years, and whether start and end dates are inclusive or exclusive.</t>
        </is>
      </c>
      <c r="L1022" s="2" t="inlineStr">
        <is>
          <t>YES</t>
        </is>
      </c>
      <c r="M1022" s="2" t="inlineStr">
        <is>
          <t>HIGH</t>
        </is>
      </c>
      <c r="N1022" s="2" t="inlineStr">
        <is>
          <t>READY</t>
        </is>
      </c>
      <c r="O1022" s="3" t="inlineStr"/>
      <c r="P1022" s="3" t="inlineStr"/>
      <c r="Q1022" s="3" t="inlineStr"/>
      <c r="R1022" s="3" t="inlineStr"/>
    </row>
    <row r="1023" ht="20" customHeight="1">
      <c r="A1023" s="4" t="inlineStr">
        <is>
          <t>ST1022</t>
        </is>
      </c>
      <c r="B1023" s="5" t="inlineStr">
        <is>
          <t>How to Calculate Business Days (Working Days) Between Two Dates Excluding Weekends and Holidays</t>
        </is>
      </c>
      <c r="C1023" s="4" t="inlineStr">
        <is>
          <t>General</t>
        </is>
      </c>
      <c r="D1023" s="5" t="inlineStr">
        <is>
          <t>Date</t>
        </is>
      </c>
      <c r="E1023" s="4" t="inlineStr">
        <is>
          <t>How-To</t>
        </is>
      </c>
      <c r="F1023" s="4" t="inlineStr">
        <is>
          <t>How-To</t>
        </is>
      </c>
      <c r="G1023" s="5" t="inlineStr">
        <is>
          <t>how to calculate business days between two dates</t>
        </is>
      </c>
      <c r="H1023" s="5" t="inlineStr">
        <is>
          <t>working days calculator formula, networkdays formula excel, exclude weekends and public holidays</t>
        </is>
      </c>
      <c r="I1023" s="5" t="inlineStr">
        <is>
          <t>Date Calculator</t>
        </is>
      </c>
      <c r="J1023" s="5" t="inlineStr">
        <is>
          <t>/calculators/date</t>
        </is>
      </c>
      <c r="K1023" s="5" t="inlineStr">
        <is>
          <t>Formula: Total Days - (Full Weeks * 2) - Intersecting Weekend Days - Gazette Holidays. Show worked timeline examples for project deadlines.</t>
        </is>
      </c>
      <c r="L1023" s="4" t="inlineStr">
        <is>
          <t>YES</t>
        </is>
      </c>
      <c r="M1023" s="4" t="inlineStr">
        <is>
          <t>HIGH</t>
        </is>
      </c>
      <c r="N1023" s="4" t="inlineStr">
        <is>
          <t>READY</t>
        </is>
      </c>
      <c r="O1023" s="5" t="inlineStr"/>
      <c r="P1023" s="5" t="inlineStr"/>
      <c r="Q1023" s="5" t="inlineStr"/>
      <c r="R1023" s="5" t="inlineStr"/>
    </row>
    <row r="1024" ht="20" customHeight="1">
      <c r="A1024" s="2" t="inlineStr">
        <is>
          <t>ST1023</t>
        </is>
      </c>
      <c r="B1024" s="3" t="inlineStr">
        <is>
          <t>How to Add or Subtract Days from a Specific Date: Project Deadline Math</t>
        </is>
      </c>
      <c r="C1024" s="2" t="inlineStr">
        <is>
          <t>General</t>
        </is>
      </c>
      <c r="D1024" s="3" t="inlineStr">
        <is>
          <t>Date</t>
        </is>
      </c>
      <c r="E1024" s="2" t="inlineStr">
        <is>
          <t>How-To</t>
        </is>
      </c>
      <c r="F1024" s="2" t="inlineStr">
        <is>
          <t>How-To</t>
        </is>
      </c>
      <c r="G1024" s="3" t="inlineStr">
        <is>
          <t>how to add days to a date</t>
        </is>
      </c>
      <c r="H1024" s="3" t="inlineStr">
        <is>
          <t>calculate future date by adding days, date plus 30 days formula, subtracting days from date</t>
        </is>
      </c>
      <c r="I1024" s="3" t="inlineStr">
        <is>
          <t>Date Calculator</t>
        </is>
      </c>
      <c r="J1024" s="3" t="inlineStr">
        <is>
          <t>/calculators/date</t>
        </is>
      </c>
      <c r="K1024" s="3" t="inlineStr">
        <is>
          <t>Walk through carrying days across month boundaries, year-end rollovers, and leap-year transitions to pinpoint exact future milestone dates.</t>
        </is>
      </c>
      <c r="L1024" s="2" t="inlineStr">
        <is>
          <t>YES</t>
        </is>
      </c>
      <c r="M1024" s="2" t="inlineStr">
        <is>
          <t>HIGH</t>
        </is>
      </c>
      <c r="N1024" s="2" t="inlineStr">
        <is>
          <t>READY</t>
        </is>
      </c>
      <c r="O1024" s="3" t="inlineStr"/>
      <c r="P1024" s="3" t="inlineStr"/>
      <c r="Q1024" s="3" t="inlineStr"/>
      <c r="R1024" s="3" t="inlineStr"/>
    </row>
    <row r="1025" ht="20" customHeight="1">
      <c r="A1025" s="4" t="inlineStr">
        <is>
          <t>ST1024</t>
        </is>
      </c>
      <c r="B1025" s="5" t="inlineStr">
        <is>
          <t>Why Do Calendar Days and Working Days Produce Vastly Different Project Durations?</t>
        </is>
      </c>
      <c r="C1025" s="4" t="inlineStr">
        <is>
          <t>General</t>
        </is>
      </c>
      <c r="D1025" s="5" t="inlineStr">
        <is>
          <t>Date</t>
        </is>
      </c>
      <c r="E1025" s="4" t="inlineStr">
        <is>
          <t>Comparison</t>
        </is>
      </c>
      <c r="F1025" s="4" t="inlineStr">
        <is>
          <t>Educational</t>
        </is>
      </c>
      <c r="G1025" s="5" t="inlineStr">
        <is>
          <t>calendar days vs working days difference</t>
        </is>
      </c>
      <c r="H1025" s="5" t="inlineStr">
        <is>
          <t>why working days are longer than calendar days, 30 calendar days in working weeks, project management date math</t>
        </is>
      </c>
      <c r="I1025" s="5" t="inlineStr">
        <is>
          <t>Date Calculator</t>
        </is>
      </c>
      <c r="J1025" s="5" t="inlineStr">
        <is>
          <t>/calculators/date</t>
        </is>
      </c>
      <c r="K1025" s="5" t="inlineStr">
        <is>
          <t>Demonstrate that a '30-day' timeline means 6 calendar weeks (42 calendar days) when accounting for standard 5-day corporate working weeks.</t>
        </is>
      </c>
      <c r="L1025" s="4" t="inlineStr">
        <is>
          <t>YES</t>
        </is>
      </c>
      <c r="M1025" s="4" t="inlineStr">
        <is>
          <t>HIGH</t>
        </is>
      </c>
      <c r="N1025" s="4" t="inlineStr">
        <is>
          <t>READY</t>
        </is>
      </c>
      <c r="O1025" s="5" t="inlineStr"/>
      <c r="P1025" s="5" t="inlineStr"/>
      <c r="Q1025" s="5" t="inlineStr"/>
      <c r="R1025" s="5" t="inlineStr"/>
    </row>
    <row r="1026" ht="20" customHeight="1">
      <c r="A1026" s="2" t="inlineStr">
        <is>
          <t>ST1025</t>
        </is>
      </c>
      <c r="B1026" s="3" t="inlineStr">
        <is>
          <t>The Math of Leap Years: Why Century Years Like 1900 Were Not Leap Years But 2000 Was</t>
        </is>
      </c>
      <c r="C1026" s="2" t="inlineStr">
        <is>
          <t>General</t>
        </is>
      </c>
      <c r="D1026" s="3" t="inlineStr">
        <is>
          <t>Date</t>
        </is>
      </c>
      <c r="E1026" s="2" t="inlineStr">
        <is>
          <t>Explanation</t>
        </is>
      </c>
      <c r="F1026" s="2" t="inlineStr">
        <is>
          <t>Educational</t>
        </is>
      </c>
      <c r="G1026" s="3" t="inlineStr">
        <is>
          <t>why 1900 was not a leap year</t>
        </is>
      </c>
      <c r="H1026" s="3" t="inlineStr">
        <is>
          <t>gregorian calendar leap year rule, century leap year rule 400, solar year duration math</t>
        </is>
      </c>
      <c r="I1026" s="3" t="inlineStr">
        <is>
          <t>Date Calculator</t>
        </is>
      </c>
      <c r="J1026" s="3" t="inlineStr">
        <is>
          <t>/calculators/date</t>
        </is>
      </c>
      <c r="K1026" s="3" t="inlineStr">
        <is>
          <t>Explain solar orbital duration (365.2422 days) and why the Gregorian reform adds a leap day every 4 years, skips century years, but keeps quadricentennial centuries.</t>
        </is>
      </c>
      <c r="L1026" s="2" t="inlineStr">
        <is>
          <t>YES</t>
        </is>
      </c>
      <c r="M1026" s="2" t="inlineStr">
        <is>
          <t>HIGH</t>
        </is>
      </c>
      <c r="N1026" s="2" t="inlineStr">
        <is>
          <t>READY</t>
        </is>
      </c>
      <c r="O1026" s="3" t="inlineStr"/>
      <c r="P1026" s="3" t="inlineStr"/>
      <c r="Q1026" s="3" t="inlineStr"/>
      <c r="R1026" s="3" t="inlineStr"/>
    </row>
    <row r="1027" ht="20" customHeight="1">
      <c r="A1027" s="4" t="inlineStr">
        <is>
          <t>ST1026</t>
        </is>
      </c>
      <c r="B1027" s="5" t="inlineStr">
        <is>
          <t>How to Calculate Notice Period Completion Date in Corporate Resignations</t>
        </is>
      </c>
      <c r="C1027" s="4" t="inlineStr">
        <is>
          <t>General</t>
        </is>
      </c>
      <c r="D1027" s="5" t="inlineStr">
        <is>
          <t>Date</t>
        </is>
      </c>
      <c r="E1027" s="4" t="inlineStr">
        <is>
          <t>Guide</t>
        </is>
      </c>
      <c r="F1027" s="4" t="inlineStr">
        <is>
          <t>How-To</t>
        </is>
      </c>
      <c r="G1027" s="5" t="inlineStr">
        <is>
          <t>how to calculate notice period last working day</t>
        </is>
      </c>
      <c r="H1027" s="5" t="inlineStr">
        <is>
          <t>last working day calculation formula, 90 days notice period calendar math, serving notice period rules</t>
        </is>
      </c>
      <c r="I1027" s="5" t="inlineStr">
        <is>
          <t>Date Calculator</t>
        </is>
      </c>
      <c r="J1027" s="5" t="inlineStr">
        <is>
          <t>/calculators/date</t>
        </is>
      </c>
      <c r="K1027" s="5" t="inlineStr">
        <is>
          <t>Explain HR conventions: 30, 60, or 90 calendar days from the formal resignation email date, including public holidays and weekends.</t>
        </is>
      </c>
      <c r="L1027" s="4" t="inlineStr">
        <is>
          <t>YES</t>
        </is>
      </c>
      <c r="M1027" s="4" t="inlineStr">
        <is>
          <t>HIGH</t>
        </is>
      </c>
      <c r="N1027" s="4" t="inlineStr">
        <is>
          <t>READY</t>
        </is>
      </c>
      <c r="O1027" s="5" t="inlineStr"/>
      <c r="P1027" s="5" t="inlineStr"/>
      <c r="Q1027" s="5" t="inlineStr"/>
      <c r="R1027" s="5" t="inlineStr"/>
    </row>
    <row r="1028" ht="20" customHeight="1">
      <c r="A1028" s="2" t="inlineStr">
        <is>
          <t>ST1027</t>
        </is>
      </c>
      <c r="B1028" s="3" t="inlineStr">
        <is>
          <t>How to Calculate Warranty Expiry Date: 1 Year vs 365 Days vs Calendar Month Rules</t>
        </is>
      </c>
      <c r="C1028" s="2" t="inlineStr">
        <is>
          <t>General</t>
        </is>
      </c>
      <c r="D1028" s="3" t="inlineStr">
        <is>
          <t>Date</t>
        </is>
      </c>
      <c r="E1028" s="2" t="inlineStr">
        <is>
          <t>Guide</t>
        </is>
      </c>
      <c r="F1028" s="2" t="inlineStr">
        <is>
          <t>Reference</t>
        </is>
      </c>
      <c r="G1028" s="3" t="inlineStr">
        <is>
          <t>how warranty expiration date is calculated</t>
        </is>
      </c>
      <c r="H1028" s="3" t="inlineStr">
        <is>
          <t>warranty date calculation consumer law, leap year warranty expiry, purchase date to warranty end</t>
        </is>
      </c>
      <c r="I1028" s="3" t="inlineStr">
        <is>
          <t>Date Calculator</t>
        </is>
      </c>
      <c r="J1028" s="3" t="inlineStr">
        <is>
          <t>/calculators/date</t>
        </is>
      </c>
      <c r="K1028" s="3" t="inlineStr">
        <is>
          <t>Clarify consumer legal standards: whether a 1-year warranty expires on the preceding day of the next year (e.g. Nov 15 to Nov 14) and leap year adjustments.</t>
        </is>
      </c>
      <c r="L1028" s="2" t="inlineStr">
        <is>
          <t>YES</t>
        </is>
      </c>
      <c r="M1028" s="2" t="inlineStr">
        <is>
          <t>MEDIUM</t>
        </is>
      </c>
      <c r="N1028" s="2" t="inlineStr">
        <is>
          <t>READY</t>
        </is>
      </c>
      <c r="O1028" s="3" t="inlineStr"/>
      <c r="P1028" s="3" t="inlineStr"/>
      <c r="Q1028" s="3" t="inlineStr"/>
      <c r="R1028" s="3" t="inlineStr"/>
    </row>
    <row r="1029" ht="20" customHeight="1">
      <c r="A1029" s="4" t="inlineStr">
        <is>
          <t>ST1028</t>
        </is>
      </c>
      <c r="B1029" s="5" t="inlineStr">
        <is>
          <t>How Many Days in a Month: The Knuckle Method and Linguistic Rhymes Explained</t>
        </is>
      </c>
      <c r="C1029" s="4" t="inlineStr">
        <is>
          <t>General</t>
        </is>
      </c>
      <c r="D1029" s="5" t="inlineStr">
        <is>
          <t>Date</t>
        </is>
      </c>
      <c r="E1029" s="4" t="inlineStr">
        <is>
          <t>Guide</t>
        </is>
      </c>
      <c r="F1029" s="4" t="inlineStr">
        <is>
          <t>Educational</t>
        </is>
      </c>
      <c r="G1029" s="5" t="inlineStr">
        <is>
          <t>knuckle method days in month</t>
        </is>
      </c>
      <c r="H1029" s="5" t="inlineStr">
        <is>
          <t>thirty days hath september rhyme, remembering days in month, month length memory tricks</t>
        </is>
      </c>
      <c r="I1029" s="5" t="inlineStr">
        <is>
          <t>Date Calculator</t>
        </is>
      </c>
      <c r="J1029" s="5" t="inlineStr">
        <is>
          <t>/calculators/date</t>
        </is>
      </c>
      <c r="K1029" s="5" t="inlineStr">
        <is>
          <t>Explain the traditional knuckle mnemonic (knuckles = 31 days, depressions = 30 or 28/29 days) and its exact correspondence to the 12 calendar months.</t>
        </is>
      </c>
      <c r="L1029" s="4" t="inlineStr">
        <is>
          <t>YES</t>
        </is>
      </c>
      <c r="M1029" s="4" t="inlineStr">
        <is>
          <t>LOW</t>
        </is>
      </c>
      <c r="N1029" s="4" t="inlineStr">
        <is>
          <t>READY</t>
        </is>
      </c>
      <c r="O1029" s="5" t="inlineStr"/>
      <c r="P1029" s="5" t="inlineStr"/>
      <c r="Q1029" s="5" t="inlineStr"/>
      <c r="R1029" s="5" t="inlineStr"/>
    </row>
    <row r="1030" ht="20" customHeight="1">
      <c r="A1030" s="2" t="inlineStr">
        <is>
          <t>ST1029</t>
        </is>
      </c>
      <c r="B1030" s="3" t="inlineStr">
        <is>
          <t>How to Calculate Exact Weeks and Remaining Days Between Two Dates</t>
        </is>
      </c>
      <c r="C1030" s="2" t="inlineStr">
        <is>
          <t>General</t>
        </is>
      </c>
      <c r="D1030" s="3" t="inlineStr">
        <is>
          <t>Date</t>
        </is>
      </c>
      <c r="E1030" s="2" t="inlineStr">
        <is>
          <t>Formula Guide</t>
        </is>
      </c>
      <c r="F1030" s="2" t="inlineStr">
        <is>
          <t>How-To</t>
        </is>
      </c>
      <c r="G1030" s="3" t="inlineStr">
        <is>
          <t>how to calculate weeks between two dates</t>
        </is>
      </c>
      <c r="H1030" s="3" t="inlineStr">
        <is>
          <t>weeks and days formula, convert days into weeks, integer division calendar math</t>
        </is>
      </c>
      <c r="I1030" s="3" t="inlineStr">
        <is>
          <t>Date Calculator</t>
        </is>
      </c>
      <c r="J1030" s="3" t="inlineStr">
        <is>
          <t>/calculators/date</t>
        </is>
      </c>
      <c r="K1030" s="3" t="inlineStr">
        <is>
          <t>Formulas: Full Weeks = floor(Total Days / 7), Remaining Days = Total Days modulo 7. Work through pregnancy, fitness challenge, and semester timetables.</t>
        </is>
      </c>
      <c r="L1030" s="2" t="inlineStr">
        <is>
          <t>YES</t>
        </is>
      </c>
      <c r="M1030" s="2" t="inlineStr">
        <is>
          <t>HIGH</t>
        </is>
      </c>
      <c r="N1030" s="2" t="inlineStr">
        <is>
          <t>READY</t>
        </is>
      </c>
      <c r="O1030" s="3" t="inlineStr"/>
      <c r="P1030" s="3" t="inlineStr"/>
      <c r="Q1030" s="3" t="inlineStr"/>
      <c r="R1030" s="3" t="inlineStr"/>
    </row>
    <row r="1031" ht="20" customHeight="1">
      <c r="A1031" s="4" t="inlineStr">
        <is>
          <t>ST1030</t>
        </is>
      </c>
      <c r="B1031" s="5" t="inlineStr">
        <is>
          <t>How to Calculate the Date Exactly 90 Days (or 180 Days) from Today</t>
        </is>
      </c>
      <c r="C1031" s="4" t="inlineStr">
        <is>
          <t>General</t>
        </is>
      </c>
      <c r="D1031" s="5" t="inlineStr">
        <is>
          <t>Date</t>
        </is>
      </c>
      <c r="E1031" s="4" t="inlineStr">
        <is>
          <t>How-To</t>
        </is>
      </c>
      <c r="F1031" s="4" t="inlineStr">
        <is>
          <t>How-To</t>
        </is>
      </c>
      <c r="G1031" s="5" t="inlineStr">
        <is>
          <t>what date will it be in 90 days</t>
        </is>
      </c>
      <c r="H1031" s="5" t="inlineStr">
        <is>
          <t>date 90 days from today calculation, 3 months vs 90 days date difference, visa validity 90 days</t>
        </is>
      </c>
      <c r="I1031" s="5" t="inlineStr">
        <is>
          <t>Date Calculator</t>
        </is>
      </c>
      <c r="J1031" s="5" t="inlineStr">
        <is>
          <t>/calculators/date</t>
        </is>
      </c>
      <c r="K1031" s="5" t="inlineStr">
        <is>
          <t>Explain why '90 days' is NOT identical to '3 months' because three consecutive months contain 90, 91, or 92 days depending on the calendar quarter.</t>
        </is>
      </c>
      <c r="L1031" s="4" t="inlineStr">
        <is>
          <t>YES</t>
        </is>
      </c>
      <c r="M1031" s="4" t="inlineStr">
        <is>
          <t>HIGH</t>
        </is>
      </c>
      <c r="N1031" s="4" t="inlineStr">
        <is>
          <t>READY</t>
        </is>
      </c>
      <c r="O1031" s="5" t="inlineStr"/>
      <c r="P1031" s="5" t="inlineStr"/>
      <c r="Q1031" s="5" t="inlineStr"/>
      <c r="R1031" s="5" t="inlineStr"/>
    </row>
    <row r="1032" ht="20" customHeight="1">
      <c r="A1032" s="2" t="inlineStr">
        <is>
          <t>ST1031</t>
        </is>
      </c>
      <c r="B1032" s="3" t="inlineStr">
        <is>
          <t>How to Calculate Interest Days in Banking: The 30/360 vs Actual/365 Day Count Conventions</t>
        </is>
      </c>
      <c r="C1032" s="2" t="inlineStr">
        <is>
          <t>General</t>
        </is>
      </c>
      <c r="D1032" s="3" t="inlineStr">
        <is>
          <t>Date</t>
        </is>
      </c>
      <c r="E1032" s="2" t="inlineStr">
        <is>
          <t>Explanation</t>
        </is>
      </c>
      <c r="F1032" s="2" t="inlineStr">
        <is>
          <t>Reference</t>
        </is>
      </c>
      <c r="G1032" s="3" t="inlineStr">
        <is>
          <t>day count conventions 30 360 vs actual 365</t>
        </is>
      </c>
      <c r="H1032" s="3" t="inlineStr">
        <is>
          <t>how banks count days for interest, bond day count convention, financial calendar math</t>
        </is>
      </c>
      <c r="I1032" s="3" t="inlineStr">
        <is>
          <t>Date Calculator</t>
        </is>
      </c>
      <c r="J1032" s="3" t="inlineStr">
        <is>
          <t>/calculators/date</t>
        </is>
      </c>
      <c r="K1032" s="3" t="inlineStr">
        <is>
          <t>Explain international financial standards: 30/360 (assuming 30-day months) vs Actual/365 used by Indian commercial banks for daily interest calculations.</t>
        </is>
      </c>
      <c r="L1032" s="2" t="inlineStr">
        <is>
          <t>YES</t>
        </is>
      </c>
      <c r="M1032" s="2" t="inlineStr">
        <is>
          <t>MEDIUM</t>
        </is>
      </c>
      <c r="N1032" s="2" t="inlineStr">
        <is>
          <t>READY</t>
        </is>
      </c>
      <c r="O1032" s="3" t="inlineStr"/>
      <c r="P1032" s="3" t="inlineStr"/>
      <c r="Q1032" s="3" t="inlineStr"/>
      <c r="R1032" s="3" t="inlineStr"/>
    </row>
    <row r="1033" ht="20" customHeight="1">
      <c r="A1033" s="4" t="inlineStr">
        <is>
          <t>ST1032</t>
        </is>
      </c>
      <c r="B1033" s="5" t="inlineStr">
        <is>
          <t>How to Calculate Your Age in Weeks, Months, and Days Simultaneously</t>
        </is>
      </c>
      <c r="C1033" s="4" t="inlineStr">
        <is>
          <t>General</t>
        </is>
      </c>
      <c r="D1033" s="5" t="inlineStr">
        <is>
          <t>Date</t>
        </is>
      </c>
      <c r="E1033" s="4" t="inlineStr">
        <is>
          <t>How-To</t>
        </is>
      </c>
      <c r="F1033" s="4" t="inlineStr">
        <is>
          <t>How-To</t>
        </is>
      </c>
      <c r="G1033" s="5" t="inlineStr">
        <is>
          <t>convert age to total weeks</t>
        </is>
      </c>
      <c r="H1033" s="5" t="inlineStr">
        <is>
          <t>age in weeks and days calculator, total weeks lived math, date of birth in weeks</t>
        </is>
      </c>
      <c r="I1033" s="5" t="inlineStr">
        <is>
          <t>Date Calculator</t>
        </is>
      </c>
      <c r="J1033" s="5" t="inlineStr">
        <is>
          <t>/calculators/date</t>
        </is>
      </c>
      <c r="K1033" s="5" t="inlineStr">
        <is>
          <t>Provide multi-unit date decomposition formulas, showing step-by-step conversions without rounding drift.</t>
        </is>
      </c>
      <c r="L1033" s="4" t="inlineStr">
        <is>
          <t>YES</t>
        </is>
      </c>
      <c r="M1033" s="4" t="inlineStr">
        <is>
          <t>MEDIUM</t>
        </is>
      </c>
      <c r="N1033" s="4" t="inlineStr">
        <is>
          <t>READY</t>
        </is>
      </c>
      <c r="O1033" s="5" t="inlineStr"/>
      <c r="P1033" s="5" t="inlineStr"/>
      <c r="Q1033" s="5" t="inlineStr"/>
      <c r="R1033" s="5" t="inlineStr"/>
    </row>
    <row r="1034" ht="20" customHeight="1">
      <c r="A1034" s="2" t="inlineStr">
        <is>
          <t>ST1033</t>
        </is>
      </c>
      <c r="B1034" s="3" t="inlineStr">
        <is>
          <t>How Julian Day Numbers (JDN) Simplify Astronomical and Scientific Date Difference Math</t>
        </is>
      </c>
      <c r="C1034" s="2" t="inlineStr">
        <is>
          <t>General</t>
        </is>
      </c>
      <c r="D1034" s="3" t="inlineStr">
        <is>
          <t>Date</t>
        </is>
      </c>
      <c r="E1034" s="2" t="inlineStr">
        <is>
          <t>Explanation</t>
        </is>
      </c>
      <c r="F1034" s="2" t="inlineStr">
        <is>
          <t>Educational</t>
        </is>
      </c>
      <c r="G1034" s="3" t="inlineStr">
        <is>
          <t>what is julian day number in date calculation</t>
        </is>
      </c>
      <c r="H1034" s="3" t="inlineStr">
        <is>
          <t>julian day formula astronomy, continuous count of days, date calculation algorithms</t>
        </is>
      </c>
      <c r="I1034" s="3" t="inlineStr">
        <is>
          <t>Date Calculator</t>
        </is>
      </c>
      <c r="J1034" s="3" t="inlineStr">
        <is>
          <t>/calculators/date</t>
        </is>
      </c>
      <c r="K1034" s="3" t="inlineStr">
        <is>
          <t>Explain how astronomers and software engineers convert complex calendar dates into a continuous integer serial day count to subtract dates instantly.</t>
        </is>
      </c>
      <c r="L1034" s="2" t="inlineStr">
        <is>
          <t>YES</t>
        </is>
      </c>
      <c r="M1034" s="2" t="inlineStr">
        <is>
          <t>LOW</t>
        </is>
      </c>
      <c r="N1034" s="2" t="inlineStr">
        <is>
          <t>READY</t>
        </is>
      </c>
      <c r="O1034" s="3" t="inlineStr"/>
      <c r="P1034" s="3" t="inlineStr"/>
      <c r="Q1034" s="3" t="inlineStr"/>
      <c r="R1034" s="3" t="inlineStr"/>
    </row>
    <row r="1035" ht="20" customHeight="1">
      <c r="A1035" s="4" t="inlineStr">
        <is>
          <t>ST1034</t>
        </is>
      </c>
      <c r="B1035" s="5" t="inlineStr">
        <is>
          <t>Calculating Passport and Visa Validity: The 6-Month Passport Rule Explained</t>
        </is>
      </c>
      <c r="C1035" s="4" t="inlineStr">
        <is>
          <t>General</t>
        </is>
      </c>
      <c r="D1035" s="5" t="inlineStr">
        <is>
          <t>Date</t>
        </is>
      </c>
      <c r="E1035" s="4" t="inlineStr">
        <is>
          <t>Guide</t>
        </is>
      </c>
      <c r="F1035" s="4" t="inlineStr">
        <is>
          <t>Reference</t>
        </is>
      </c>
      <c r="G1035" s="5" t="inlineStr">
        <is>
          <t>6 month passport validity rule calculation</t>
        </is>
      </c>
      <c r="H1035" s="5" t="inlineStr">
        <is>
          <t>calculating passport expiry for international travel, visa validity date difference, travel date calculation</t>
        </is>
      </c>
      <c r="I1035" s="5" t="inlineStr">
        <is>
          <t>Date Calculator</t>
        </is>
      </c>
      <c r="J1035" s="5" t="inlineStr">
        <is>
          <t>/calculators/date</t>
        </is>
      </c>
      <c r="K1035" s="5" t="inlineStr">
        <is>
          <t>Explain international immigration requirements: calculating whether passport expiration is at least 180 days past intended departure date.</t>
        </is>
      </c>
      <c r="L1035" s="4" t="inlineStr">
        <is>
          <t>YES</t>
        </is>
      </c>
      <c r="M1035" s="4" t="inlineStr">
        <is>
          <t>HIGH</t>
        </is>
      </c>
      <c r="N1035" s="4" t="inlineStr">
        <is>
          <t>READY</t>
        </is>
      </c>
      <c r="O1035" s="5" t="inlineStr"/>
      <c r="P1035" s="5" t="inlineStr"/>
      <c r="Q1035" s="5" t="inlineStr"/>
      <c r="R1035" s="5" t="inlineStr"/>
    </row>
    <row r="1036" ht="20" customHeight="1">
      <c r="A1036" s="2" t="inlineStr">
        <is>
          <t>ST1035</t>
        </is>
      </c>
      <c r="B1036" s="3" t="inlineStr">
        <is>
          <t>How to Calculate Tenancy Agreement Renewal Dates and Lock-In Periods</t>
        </is>
      </c>
      <c r="C1036" s="2" t="inlineStr">
        <is>
          <t>General</t>
        </is>
      </c>
      <c r="D1036" s="3" t="inlineStr">
        <is>
          <t>Date</t>
        </is>
      </c>
      <c r="E1036" s="2" t="inlineStr">
        <is>
          <t>Guide</t>
        </is>
      </c>
      <c r="F1036" s="2" t="inlineStr">
        <is>
          <t>How-To</t>
        </is>
      </c>
      <c r="G1036" s="3" t="inlineStr">
        <is>
          <t>11 month rent agreement date calculation</t>
        </is>
      </c>
      <c r="H1036" s="3" t="inlineStr">
        <is>
          <t>why rental agreement is 11 months, calculating lock in period expiry, lease renewal date calculation</t>
        </is>
      </c>
      <c r="I1036" s="3" t="inlineStr">
        <is>
          <t>Date Calculator</t>
        </is>
      </c>
      <c r="J1036" s="3" t="inlineStr">
        <is>
          <t>/calculators/date</t>
        </is>
      </c>
      <c r="K1036" s="3" t="inlineStr">
        <is>
          <t>Explain the 11-month lease convention in India (avoiding Registration Act stamp duty) and calculating exact lock-in and notice period dates.</t>
        </is>
      </c>
      <c r="L1036" s="2" t="inlineStr">
        <is>
          <t>YES</t>
        </is>
      </c>
      <c r="M1036" s="2" t="inlineStr">
        <is>
          <t>HIGH</t>
        </is>
      </c>
      <c r="N1036" s="2" t="inlineStr">
        <is>
          <t>READY</t>
        </is>
      </c>
      <c r="O1036" s="3" t="inlineStr"/>
      <c r="P1036" s="3" t="inlineStr"/>
      <c r="Q1036" s="3" t="inlineStr"/>
      <c r="R1036" s="3" t="inlineStr"/>
    </row>
    <row r="1037" ht="20" customHeight="1">
      <c r="A1037" s="4" t="inlineStr">
        <is>
          <t>ST1036</t>
        </is>
      </c>
      <c r="B1037" s="5" t="inlineStr">
        <is>
          <t>How to Calculate Total Sundays or Specific Weekdays in a Given Month or Year</t>
        </is>
      </c>
      <c r="C1037" s="4" t="inlineStr">
        <is>
          <t>General</t>
        </is>
      </c>
      <c r="D1037" s="5" t="inlineStr">
        <is>
          <t>Date</t>
        </is>
      </c>
      <c r="E1037" s="4" t="inlineStr">
        <is>
          <t>Formula Guide</t>
        </is>
      </c>
      <c r="F1037" s="4" t="inlineStr">
        <is>
          <t>How-To</t>
        </is>
      </c>
      <c r="G1037" s="5" t="inlineStr">
        <is>
          <t>how to count number of sundays in a month</t>
        </is>
      </c>
      <c r="H1037" s="5" t="inlineStr">
        <is>
          <t>counting specific weekdays between dates, calendar distribution of days, weekday frequency formula</t>
        </is>
      </c>
      <c r="I1037" s="5" t="inlineStr">
        <is>
          <t>Date Calculator</t>
        </is>
      </c>
      <c r="J1037" s="5" t="inlineStr">
        <is>
          <t>/calculators/date</t>
        </is>
      </c>
      <c r="K1037" s="5" t="inlineStr">
        <is>
          <t>Provide mathematical algorithm to determine whether a month has 4 or 5 occurrences of a specific day based on month length and start weekday.</t>
        </is>
      </c>
      <c r="L1037" s="4" t="inlineStr">
        <is>
          <t>YES</t>
        </is>
      </c>
      <c r="M1037" s="4" t="inlineStr">
        <is>
          <t>MEDIUM</t>
        </is>
      </c>
      <c r="N1037" s="4" t="inlineStr">
        <is>
          <t>READY</t>
        </is>
      </c>
      <c r="O1037" s="5" t="inlineStr"/>
      <c r="P1037" s="5" t="inlineStr"/>
      <c r="Q1037" s="5" t="inlineStr"/>
      <c r="R1037" s="5" t="inlineStr"/>
    </row>
    <row r="1038" ht="20" customHeight="1">
      <c r="A1038" s="2" t="inlineStr">
        <is>
          <t>ST1037</t>
        </is>
      </c>
      <c r="B1038" s="3" t="inlineStr">
        <is>
          <t>How Fixed-Term Contract Expiration Dates Are Calculated in Indian Law</t>
        </is>
      </c>
      <c r="C1038" s="2" t="inlineStr">
        <is>
          <t>General</t>
        </is>
      </c>
      <c r="D1038" s="3" t="inlineStr">
        <is>
          <t>Date</t>
        </is>
      </c>
      <c r="E1038" s="2" t="inlineStr">
        <is>
          <t>Guide</t>
        </is>
      </c>
      <c r="F1038" s="2" t="inlineStr">
        <is>
          <t>Reference</t>
        </is>
      </c>
      <c r="G1038" s="3" t="inlineStr">
        <is>
          <t>fixed term contract expiry date rules</t>
        </is>
      </c>
      <c r="H1038" s="3" t="inlineStr">
        <is>
          <t>contract end date calculation, employment contract renewal notice date, fixed term tenure math</t>
        </is>
      </c>
      <c r="I1038" s="3" t="inlineStr">
        <is>
          <t>Date Calculator</t>
        </is>
      </c>
      <c r="J1038" s="3" t="inlineStr">
        <is>
          <t>/calculators/date</t>
        </is>
      </c>
      <c r="K1038" s="3" t="inlineStr">
        <is>
          <t>Review legal principles under General Clauses Act: when a deadline lands on a public holiday, does expiration extend to the next working day?</t>
        </is>
      </c>
      <c r="L1038" s="2" t="inlineStr">
        <is>
          <t>YES</t>
        </is>
      </c>
      <c r="M1038" s="2" t="inlineStr">
        <is>
          <t>LOW</t>
        </is>
      </c>
      <c r="N1038" s="2" t="inlineStr">
        <is>
          <t>READY</t>
        </is>
      </c>
      <c r="O1038" s="3" t="inlineStr"/>
      <c r="P1038" s="3" t="inlineStr"/>
      <c r="Q1038" s="3" t="inlineStr"/>
      <c r="R1038" s="3" t="inlineStr"/>
    </row>
    <row r="1039" ht="20" customHeight="1">
      <c r="A1039" s="4" t="inlineStr">
        <is>
          <t>ST1038</t>
        </is>
      </c>
      <c r="B1039" s="5" t="inlineStr">
        <is>
          <t>How to Calculate Date of Conception from Estimated Due Date (EDD) Using Naegele's Rule</t>
        </is>
      </c>
      <c r="C1039" s="4" t="inlineStr">
        <is>
          <t>General</t>
        </is>
      </c>
      <c r="D1039" s="5" t="inlineStr">
        <is>
          <t>Date</t>
        </is>
      </c>
      <c r="E1039" s="4" t="inlineStr">
        <is>
          <t>Formula Guide</t>
        </is>
      </c>
      <c r="F1039" s="4" t="inlineStr">
        <is>
          <t>Reference</t>
        </is>
      </c>
      <c r="G1039" s="5" t="inlineStr">
        <is>
          <t>naegele rule edd calculation</t>
        </is>
      </c>
      <c r="H1039" s="5" t="inlineStr">
        <is>
          <t>pregnancy due date formula, calculate conception date from lmp, gestational calendar calculation</t>
        </is>
      </c>
      <c r="I1039" s="5" t="inlineStr">
        <is>
          <t>Date Calculator</t>
        </is>
      </c>
      <c r="J1039" s="5" t="inlineStr">
        <is>
          <t>/calculators/date</t>
        </is>
      </c>
      <c r="K1039" s="5" t="inlineStr">
        <is>
          <t>Formula: EDD = First Day of Last Menstrual Period (LMP) + 1 Year - 3 Months + 7 Days. Work through pregnancy milestone calculations.</t>
        </is>
      </c>
      <c r="L1039" s="4" t="inlineStr">
        <is>
          <t>YES</t>
        </is>
      </c>
      <c r="M1039" s="4" t="inlineStr">
        <is>
          <t>HIGH</t>
        </is>
      </c>
      <c r="N1039" s="4" t="inlineStr">
        <is>
          <t>READY</t>
        </is>
      </c>
      <c r="O1039" s="5" t="inlineStr"/>
      <c r="P1039" s="5" t="inlineStr"/>
      <c r="Q1039" s="5" t="inlineStr"/>
      <c r="R1039" s="5" t="inlineStr"/>
    </row>
    <row r="1040" ht="20" customHeight="1">
      <c r="A1040" s="2" t="inlineStr">
        <is>
          <t>ST1039</t>
        </is>
      </c>
      <c r="B1040" s="3" t="inlineStr">
        <is>
          <t>How to Find the Day of the Week for Any Date in History: Doomsday Rule</t>
        </is>
      </c>
      <c r="C1040" s="2" t="inlineStr">
        <is>
          <t>General</t>
        </is>
      </c>
      <c r="D1040" s="3" t="inlineStr">
        <is>
          <t>Date</t>
        </is>
      </c>
      <c r="E1040" s="2" t="inlineStr">
        <is>
          <t>Guide</t>
        </is>
      </c>
      <c r="F1040" s="2" t="inlineStr">
        <is>
          <t>How-To</t>
        </is>
      </c>
      <c r="G1040" s="3" t="inlineStr">
        <is>
          <t>doomsday rule mental math for weekdays</t>
        </is>
      </c>
      <c r="H1040" s="3" t="inlineStr">
        <is>
          <t>how to calculate day of week in head, john conway doomsday algorithm, calendar mental math</t>
        </is>
      </c>
      <c r="I1040" s="3" t="inlineStr">
        <is>
          <t>Date Calculator</t>
        </is>
      </c>
      <c r="J1040" s="3" t="inlineStr">
        <is>
          <t>/calculators/date</t>
        </is>
      </c>
      <c r="K1040" s="3" t="inlineStr">
        <is>
          <t>Teach mathematician John Conway's famous Doomsday algorithm using anchor days (4/4, 6/6, 8/8, 10/10, 12/12) to determine weekdays mentally in 10 seconds.</t>
        </is>
      </c>
      <c r="L1040" s="2" t="inlineStr">
        <is>
          <t>YES</t>
        </is>
      </c>
      <c r="M1040" s="2" t="inlineStr">
        <is>
          <t>HIGH</t>
        </is>
      </c>
      <c r="N1040" s="2" t="inlineStr">
        <is>
          <t>READY</t>
        </is>
      </c>
      <c r="O1040" s="3" t="inlineStr"/>
      <c r="P1040" s="3" t="inlineStr"/>
      <c r="Q1040" s="3" t="inlineStr"/>
      <c r="R1040" s="3" t="inlineStr"/>
    </row>
    <row r="1041" ht="20" customHeight="1">
      <c r="A1041" s="4" t="inlineStr">
        <is>
          <t>ST1040</t>
        </is>
      </c>
      <c r="B1041" s="5" t="inlineStr">
        <is>
          <t>Summary Guide: Essential Formulas for Date Differences, Business Days, and Calendar Algorithms</t>
        </is>
      </c>
      <c r="C1041" s="4" t="inlineStr">
        <is>
          <t>General</t>
        </is>
      </c>
      <c r="D1041" s="5" t="inlineStr">
        <is>
          <t>Date</t>
        </is>
      </c>
      <c r="E1041" s="4" t="inlineStr">
        <is>
          <t>Formula Guide</t>
        </is>
      </c>
      <c r="F1041" s="4" t="inlineStr">
        <is>
          <t>Reference</t>
        </is>
      </c>
      <c r="G1041" s="5" t="inlineStr">
        <is>
          <t>date calculation formulas summary</t>
        </is>
      </c>
      <c r="H1041" s="5" t="inlineStr">
        <is>
          <t>all date math formulas cheat sheet, business days formula, calendar algorithm reference</t>
        </is>
      </c>
      <c r="I1041" s="5" t="inlineStr">
        <is>
          <t>Date Calculator</t>
        </is>
      </c>
      <c r="J1041" s="5" t="inlineStr">
        <is>
          <t>/calculators/date</t>
        </is>
      </c>
      <c r="K1041" s="5" t="inlineStr">
        <is>
          <t>Consolidated reference sheet covering calendar date intervals, leap year logic, Zeller's congruence, working day deduction formulas, and Naegele's rule.</t>
        </is>
      </c>
      <c r="L1041" s="4" t="inlineStr">
        <is>
          <t>YES</t>
        </is>
      </c>
      <c r="M1041" s="4" t="inlineStr">
        <is>
          <t>HIGH</t>
        </is>
      </c>
      <c r="N1041" s="4" t="inlineStr">
        <is>
          <t>READY</t>
        </is>
      </c>
      <c r="O1041" s="5" t="inlineStr"/>
      <c r="P1041" s="5" t="inlineStr"/>
      <c r="Q1041" s="5" t="inlineStr"/>
      <c r="R1041" s="5" t="inlineStr"/>
    </row>
    <row r="1042" ht="20" customHeight="1">
      <c r="A1042" s="2" t="inlineStr">
        <is>
          <t>ST1041</t>
        </is>
      </c>
      <c r="B1042" s="3" t="inlineStr">
        <is>
          <t>How to Calculate Discount Percentage and Sale Price: The Complete Math Guide</t>
        </is>
      </c>
      <c r="C1042" s="2" t="inlineStr">
        <is>
          <t>General</t>
        </is>
      </c>
      <c r="D1042" s="3" t="inlineStr">
        <is>
          <t>Discount</t>
        </is>
      </c>
      <c r="E1042" s="2" t="inlineStr">
        <is>
          <t>Formula Guide</t>
        </is>
      </c>
      <c r="F1042" s="2" t="inlineStr">
        <is>
          <t>How-To</t>
        </is>
      </c>
      <c r="G1042" s="3" t="inlineStr">
        <is>
          <t>how to calculate discount percentage</t>
        </is>
      </c>
      <c r="H1042" s="3" t="inlineStr">
        <is>
          <t>discount formula, sale price calculation formula, savings amount formula, shopping discount calculation</t>
        </is>
      </c>
      <c r="I1042" s="3" t="inlineStr">
        <is>
          <t>Discount Calculator</t>
        </is>
      </c>
      <c r="J1042" s="3" t="inlineStr">
        <is>
          <t>/calculators/discount</t>
        </is>
      </c>
      <c r="K1042" s="3" t="inlineStr">
        <is>
          <t>Derive formulas: Discount Amount = Original Price * (Discount% / 100), Final Sale Price = Original Price - Discount Amount. Provide worked shopping examples.</t>
        </is>
      </c>
      <c r="L1042" s="2" t="inlineStr">
        <is>
          <t>YES</t>
        </is>
      </c>
      <c r="M1042" s="2" t="inlineStr">
        <is>
          <t>HIGH</t>
        </is>
      </c>
      <c r="N1042" s="2" t="inlineStr">
        <is>
          <t>READY</t>
        </is>
      </c>
      <c r="O1042" s="3" t="inlineStr"/>
      <c r="P1042" s="3" t="inlineStr"/>
      <c r="Q1042" s="3" t="inlineStr"/>
      <c r="R1042" s="3" t="inlineStr"/>
    </row>
    <row r="1043" ht="20" customHeight="1">
      <c r="A1043" s="4" t="inlineStr">
        <is>
          <t>ST1042</t>
        </is>
      </c>
      <c r="B1043" s="5" t="inlineStr">
        <is>
          <t>Successive Discounts Formula: Why 'Buy 50% + 50% Off' Does Not Mean Free</t>
        </is>
      </c>
      <c r="C1043" s="4" t="inlineStr">
        <is>
          <t>General</t>
        </is>
      </c>
      <c r="D1043" s="5" t="inlineStr">
        <is>
          <t>Discount</t>
        </is>
      </c>
      <c r="E1043" s="4" t="inlineStr">
        <is>
          <t>Explanation</t>
        </is>
      </c>
      <c r="F1043" s="4" t="inlineStr">
        <is>
          <t>Educational</t>
        </is>
      </c>
      <c r="G1043" s="5" t="inlineStr">
        <is>
          <t>successive discount formula 50 plus 50</t>
        </is>
      </c>
      <c r="H1043" s="5" t="inlineStr">
        <is>
          <t>why 50 plus 50 is not 100 percent discount, consecutive discount math, chain discount formula</t>
        </is>
      </c>
      <c r="I1043" s="5" t="inlineStr">
        <is>
          <t>Discount Calculator</t>
        </is>
      </c>
      <c r="J1043" s="5" t="inlineStr">
        <is>
          <t>/calculators/discount</t>
        </is>
      </c>
      <c r="K1043" s="5" t="inlineStr">
        <is>
          <t>Prove mathematically that successive 50% + 50% yields a 75% net discount (0.50 * 0.50 = 0.25). General formula: d_net = d1 + d2 - (d1 * d2 / 100).</t>
        </is>
      </c>
      <c r="L1043" s="4" t="inlineStr">
        <is>
          <t>YES</t>
        </is>
      </c>
      <c r="M1043" s="4" t="inlineStr">
        <is>
          <t>HIGH</t>
        </is>
      </c>
      <c r="N1043" s="4" t="inlineStr">
        <is>
          <t>READY</t>
        </is>
      </c>
      <c r="O1043" s="5" t="inlineStr"/>
      <c r="P1043" s="5" t="inlineStr"/>
      <c r="Q1043" s="5" t="inlineStr"/>
      <c r="R1043" s="5" t="inlineStr"/>
    </row>
    <row r="1044" ht="20" customHeight="1">
      <c r="A1044" s="2" t="inlineStr">
        <is>
          <t>ST1043</t>
        </is>
      </c>
      <c r="B1044" s="3" t="inlineStr">
        <is>
          <t>Reverse Discount Calculation: How to Find the Original Price Before the Discount</t>
        </is>
      </c>
      <c r="C1044" s="2" t="inlineStr">
        <is>
          <t>General</t>
        </is>
      </c>
      <c r="D1044" s="3" t="inlineStr">
        <is>
          <t>Discount</t>
        </is>
      </c>
      <c r="E1044" s="2" t="inlineStr">
        <is>
          <t>Formula Guide</t>
        </is>
      </c>
      <c r="F1044" s="2" t="inlineStr">
        <is>
          <t>How-To</t>
        </is>
      </c>
      <c r="G1044" s="3" t="inlineStr">
        <is>
          <t>how to find original price before discount</t>
        </is>
      </c>
      <c r="H1044" s="3" t="inlineStr">
        <is>
          <t>reverse discount formula, calculate mrp from sale price, finding original price after discount</t>
        </is>
      </c>
      <c r="I1044" s="3" t="inlineStr">
        <is>
          <t>Discount Calculator</t>
        </is>
      </c>
      <c r="J1044" s="3" t="inlineStr">
        <is>
          <t>/calculators/discount</t>
        </is>
      </c>
      <c r="K1044" s="3" t="inlineStr">
        <is>
          <t>Formula: Original Price = Sale Price / (1 - Discount% / 100). Address the common consumer error of adding the discount percentage back to the sale price.</t>
        </is>
      </c>
      <c r="L1044" s="2" t="inlineStr">
        <is>
          <t>YES</t>
        </is>
      </c>
      <c r="M1044" s="2" t="inlineStr">
        <is>
          <t>HIGH</t>
        </is>
      </c>
      <c r="N1044" s="2" t="inlineStr">
        <is>
          <t>READY</t>
        </is>
      </c>
      <c r="O1044" s="3" t="inlineStr"/>
      <c r="P1044" s="3" t="inlineStr"/>
      <c r="Q1044" s="3" t="inlineStr"/>
      <c r="R1044" s="3" t="inlineStr"/>
    </row>
    <row r="1045" ht="20" customHeight="1">
      <c r="A1045" s="4" t="inlineStr">
        <is>
          <t>ST1044</t>
        </is>
      </c>
      <c r="B1045" s="5" t="inlineStr">
        <is>
          <t>'Buy 2 Get 1 Free' vs 'Buy 3 Get 2 Free': What Is the Actual Percentage Discount?</t>
        </is>
      </c>
      <c r="C1045" s="4" t="inlineStr">
        <is>
          <t>General</t>
        </is>
      </c>
      <c r="D1045" s="5" t="inlineStr">
        <is>
          <t>Discount</t>
        </is>
      </c>
      <c r="E1045" s="4" t="inlineStr">
        <is>
          <t>Comparison</t>
        </is>
      </c>
      <c r="F1045" s="4" t="inlineStr">
        <is>
          <t>Educational</t>
        </is>
      </c>
      <c r="G1045" s="5" t="inlineStr">
        <is>
          <t>actual discount on buy 2 get 1 free</t>
        </is>
      </c>
      <c r="H1045" s="5" t="inlineStr">
        <is>
          <t>buy 1 get 1 free percentage discount, buy 2 get 1 free discount percentage, bogo offer math</t>
        </is>
      </c>
      <c r="I1045" s="5" t="inlineStr">
        <is>
          <t>Discount Calculator</t>
        </is>
      </c>
      <c r="J1045" s="5" t="inlineStr">
        <is>
          <t>/calculators/discount</t>
        </is>
      </c>
      <c r="K1045" s="5" t="inlineStr">
        <is>
          <t>Formula: Discount % = [Free Items / Total Items Taken] * 100. Prove Buy 1 Get 1 = 50%, Buy 2 Get 1 Free = 33.33%, Buy 3 Get 2 Free = 40.0%.</t>
        </is>
      </c>
      <c r="L1045" s="4" t="inlineStr">
        <is>
          <t>YES</t>
        </is>
      </c>
      <c r="M1045" s="4" t="inlineStr">
        <is>
          <t>HIGH</t>
        </is>
      </c>
      <c r="N1045" s="4" t="inlineStr">
        <is>
          <t>READY</t>
        </is>
      </c>
      <c r="O1045" s="5" t="inlineStr"/>
      <c r="P1045" s="5" t="inlineStr"/>
      <c r="Q1045" s="5" t="inlineStr"/>
      <c r="R1045" s="5" t="inlineStr"/>
    </row>
    <row r="1046" ht="20" customHeight="1">
      <c r="A1046" s="2" t="inlineStr">
        <is>
          <t>ST1045</t>
        </is>
      </c>
      <c r="B1046" s="3" t="inlineStr">
        <is>
          <t>How to Calculate Cash Discount vs Trade Discount in Commercial Wholesale Invoices</t>
        </is>
      </c>
      <c r="C1046" s="2" t="inlineStr">
        <is>
          <t>General</t>
        </is>
      </c>
      <c r="D1046" s="3" t="inlineStr">
        <is>
          <t>Discount</t>
        </is>
      </c>
      <c r="E1046" s="2" t="inlineStr">
        <is>
          <t>Comparison</t>
        </is>
      </c>
      <c r="F1046" s="2" t="inlineStr">
        <is>
          <t>Reference</t>
        </is>
      </c>
      <c r="G1046" s="3" t="inlineStr">
        <is>
          <t>trade discount vs cash discount</t>
        </is>
      </c>
      <c r="H1046" s="3" t="inlineStr">
        <is>
          <t>difference between trade and cash discount, 2 10 net 30 discount formula, accounting for discounts</t>
        </is>
      </c>
      <c r="I1046" s="3" t="inlineStr">
        <is>
          <t>Discount Calculator</t>
        </is>
      </c>
      <c r="J1046" s="3" t="inlineStr">
        <is>
          <t>/calculators/discount</t>
        </is>
      </c>
      <c r="K1046" s="3" t="inlineStr">
        <is>
          <t>Explain supply chain terms: Trade Discount (deducted from catalog price on invoice) vs Cash Discount (prompt payment discount like 2/10 Net 30).</t>
        </is>
      </c>
      <c r="L1046" s="2" t="inlineStr">
        <is>
          <t>YES</t>
        </is>
      </c>
      <c r="M1046" s="2" t="inlineStr">
        <is>
          <t>MEDIUM</t>
        </is>
      </c>
      <c r="N1046" s="2" t="inlineStr">
        <is>
          <t>READY</t>
        </is>
      </c>
      <c r="O1046" s="3" t="inlineStr"/>
      <c r="P1046" s="3" t="inlineStr"/>
      <c r="Q1046" s="3" t="inlineStr"/>
      <c r="R1046" s="3" t="inlineStr"/>
    </row>
    <row r="1047" ht="20" customHeight="1">
      <c r="A1047" s="4" t="inlineStr">
        <is>
          <t>ST1046</t>
        </is>
      </c>
      <c r="B1047" s="5" t="inlineStr">
        <is>
          <t>Flat Discount vs Percentage Discount: Which Offer Gives You a Better Deal?</t>
        </is>
      </c>
      <c r="C1047" s="4" t="inlineStr">
        <is>
          <t>General</t>
        </is>
      </c>
      <c r="D1047" s="5" t="inlineStr">
        <is>
          <t>Discount</t>
        </is>
      </c>
      <c r="E1047" s="4" t="inlineStr">
        <is>
          <t>Comparison</t>
        </is>
      </c>
      <c r="F1047" s="4" t="inlineStr">
        <is>
          <t>Comparison</t>
        </is>
      </c>
      <c r="G1047" s="5" t="inlineStr">
        <is>
          <t>flat discount vs percentage discount</t>
        </is>
      </c>
      <c r="H1047" s="5" t="inlineStr">
        <is>
          <t>flat 500 off vs 20 percent off, which discount saves more money, shopping discount comparison</t>
        </is>
      </c>
      <c r="I1047" s="5" t="inlineStr">
        <is>
          <t>Discount Calculator</t>
        </is>
      </c>
      <c r="J1047" s="5" t="inlineStr">
        <is>
          <t>/calculators/discount</t>
        </is>
      </c>
      <c r="K1047" s="5" t="inlineStr">
        <is>
          <t>Calculate the breakeven spend threshold: e.g., Flat Rs 500 beats 20% on purchases under Rs 2,500, but 20% saves more on purchases above Rs 2,500.</t>
        </is>
      </c>
      <c r="L1047" s="4" t="inlineStr">
        <is>
          <t>YES</t>
        </is>
      </c>
      <c r="M1047" s="4" t="inlineStr">
        <is>
          <t>HIGH</t>
        </is>
      </c>
      <c r="N1047" s="4" t="inlineStr">
        <is>
          <t>READY</t>
        </is>
      </c>
      <c r="O1047" s="5" t="inlineStr"/>
      <c r="P1047" s="5" t="inlineStr"/>
      <c r="Q1047" s="5" t="inlineStr"/>
      <c r="R1047" s="5" t="inlineStr"/>
    </row>
    <row r="1048" ht="20" customHeight="1">
      <c r="A1048" s="2" t="inlineStr">
        <is>
          <t>ST1047</t>
        </is>
      </c>
      <c r="B1048" s="3" t="inlineStr">
        <is>
          <t>How to Calculate Additional Coupon Discounts and Bank Cashback Offers Together</t>
        </is>
      </c>
      <c r="C1048" s="2" t="inlineStr">
        <is>
          <t>General</t>
        </is>
      </c>
      <c r="D1048" s="3" t="inlineStr">
        <is>
          <t>Discount</t>
        </is>
      </c>
      <c r="E1048" s="2" t="inlineStr">
        <is>
          <t>How-To</t>
        </is>
      </c>
      <c r="F1048" s="2" t="inlineStr">
        <is>
          <t>How-To</t>
        </is>
      </c>
      <c r="G1048" s="3" t="inlineStr">
        <is>
          <t>how to calculate stackable discounts and cashback</t>
        </is>
      </c>
      <c r="H1048" s="3" t="inlineStr">
        <is>
          <t>coupon code plus bank discount calculation, credit card cashback on discounted price, total savings calculation</t>
        </is>
      </c>
      <c r="I1048" s="3" t="inlineStr">
        <is>
          <t>Discount Calculator</t>
        </is>
      </c>
      <c r="J1048" s="3" t="inlineStr">
        <is>
          <t>/calculators/discount</t>
        </is>
      </c>
      <c r="K1048" s="3" t="inlineStr">
        <is>
          <t>Walk through multi-layer e-commerce checkout math: MRP -&gt; Store Discount -&gt; Coupon Code -&gt; 10% Instant Bank Discount -&gt; 5% Cashback.</t>
        </is>
      </c>
      <c r="L1048" s="2" t="inlineStr">
        <is>
          <t>YES</t>
        </is>
      </c>
      <c r="M1048" s="2" t="inlineStr">
        <is>
          <t>HIGH</t>
        </is>
      </c>
      <c r="N1048" s="2" t="inlineStr">
        <is>
          <t>READY</t>
        </is>
      </c>
      <c r="O1048" s="3" t="inlineStr"/>
      <c r="P1048" s="3" t="inlineStr"/>
      <c r="Q1048" s="3" t="inlineStr"/>
      <c r="R1048" s="3" t="inlineStr"/>
    </row>
    <row r="1049" ht="20" customHeight="1">
      <c r="A1049" s="4" t="inlineStr">
        <is>
          <t>ST1048</t>
        </is>
      </c>
      <c r="B1049" s="5" t="inlineStr">
        <is>
          <t>Markup vs Discount: Why a 25% Markup Followed by a 20% Discount Returns to Base</t>
        </is>
      </c>
      <c r="C1049" s="4" t="inlineStr">
        <is>
          <t>General</t>
        </is>
      </c>
      <c r="D1049" s="5" t="inlineStr">
        <is>
          <t>Discount</t>
        </is>
      </c>
      <c r="E1049" s="4" t="inlineStr">
        <is>
          <t>Explanation</t>
        </is>
      </c>
      <c r="F1049" s="4" t="inlineStr">
        <is>
          <t>Educational</t>
        </is>
      </c>
      <c r="G1049" s="5" t="inlineStr">
        <is>
          <t>markup vs discount relationship</t>
        </is>
      </c>
      <c r="H1049" s="5" t="inlineStr">
        <is>
          <t>why 25 markup and 20 discount is original price, markup percentage formula, cost price to mrp math</t>
        </is>
      </c>
      <c r="I1049" s="5" t="inlineStr">
        <is>
          <t>Discount Calculator</t>
        </is>
      </c>
      <c r="J1049" s="5" t="inlineStr">
        <is>
          <t>/calculators/discount</t>
        </is>
      </c>
      <c r="K1049" s="5" t="inlineStr">
        <is>
          <t>Prove algebraically why Cost Price * 1.25 * 0.80 = Cost Price. Explain the mathematical duality between markup on cost and discount on selling price.</t>
        </is>
      </c>
      <c r="L1049" s="4" t="inlineStr">
        <is>
          <t>YES</t>
        </is>
      </c>
      <c r="M1049" s="4" t="inlineStr">
        <is>
          <t>HIGH</t>
        </is>
      </c>
      <c r="N1049" s="4" t="inlineStr">
        <is>
          <t>READY</t>
        </is>
      </c>
      <c r="O1049" s="5" t="inlineStr"/>
      <c r="P1049" s="5" t="inlineStr"/>
      <c r="Q1049" s="5" t="inlineStr"/>
      <c r="R1049" s="5" t="inlineStr"/>
    </row>
    <row r="1050" ht="20" customHeight="1">
      <c r="A1050" s="2" t="inlineStr">
        <is>
          <t>ST1049</t>
        </is>
      </c>
      <c r="B1050" s="3" t="inlineStr">
        <is>
          <t>How Retailers Inflate MRP Before Sales to Fake Big 70% Discounts</t>
        </is>
      </c>
      <c r="C1050" s="2" t="inlineStr">
        <is>
          <t>General</t>
        </is>
      </c>
      <c r="D1050" s="3" t="inlineStr">
        <is>
          <t>Discount</t>
        </is>
      </c>
      <c r="E1050" s="2" t="inlineStr">
        <is>
          <t>Explanation</t>
        </is>
      </c>
      <c r="F1050" s="2" t="inlineStr">
        <is>
          <t>Informational</t>
        </is>
      </c>
      <c r="G1050" s="3" t="inlineStr">
        <is>
          <t>fake discounts during festival sales</t>
        </is>
      </c>
      <c r="H1050" s="3" t="inlineStr">
        <is>
          <t>inflating mrp before discount, truth behind big billion days discounts, price tracking sale offers</t>
        </is>
      </c>
      <c r="I1050" s="3" t="inlineStr">
        <is>
          <t>Discount Calculator</t>
        </is>
      </c>
      <c r="J1050" s="3" t="inlineStr">
        <is>
          <t>/calculators/discount</t>
        </is>
      </c>
      <c r="K1050" s="3" t="inlineStr">
        <is>
          <t>Expose psychological pricing: how artificial MRP inflation creates the illusion of 70% savings while net price remains unchanged, and how to verify real price history.</t>
        </is>
      </c>
      <c r="L1050" s="2" t="inlineStr">
        <is>
          <t>YES</t>
        </is>
      </c>
      <c r="M1050" s="2" t="inlineStr">
        <is>
          <t>HIGH</t>
        </is>
      </c>
      <c r="N1050" s="2" t="inlineStr">
        <is>
          <t>READY</t>
        </is>
      </c>
      <c r="O1050" s="3" t="inlineStr"/>
      <c r="P1050" s="3" t="inlineStr"/>
      <c r="Q1050" s="3" t="inlineStr"/>
      <c r="R1050" s="3" t="inlineStr"/>
    </row>
    <row r="1051" ht="20" customHeight="1">
      <c r="A1051" s="4" t="inlineStr">
        <is>
          <t>ST1050</t>
        </is>
      </c>
      <c r="B1051" s="5" t="inlineStr">
        <is>
          <t>Discount Calculation When Tax (GST) Is Applied After the Discount</t>
        </is>
      </c>
      <c r="C1051" s="4" t="inlineStr">
        <is>
          <t>General</t>
        </is>
      </c>
      <c r="D1051" s="5" t="inlineStr">
        <is>
          <t>Discount</t>
        </is>
      </c>
      <c r="E1051" s="4" t="inlineStr">
        <is>
          <t>Formula Guide</t>
        </is>
      </c>
      <c r="F1051" s="4" t="inlineStr">
        <is>
          <t>How-To</t>
        </is>
      </c>
      <c r="G1051" s="5" t="inlineStr">
        <is>
          <t>how to calculate discount before gst</t>
        </is>
      </c>
      <c r="H1051" s="5" t="inlineStr">
        <is>
          <t>gst on discounted price formula, does discount apply before tax, restaurant bill discount and gst</t>
        </is>
      </c>
      <c r="I1051" s="5" t="inlineStr">
        <is>
          <t>Discount Calculator</t>
        </is>
      </c>
      <c r="J1051" s="5" t="inlineStr">
        <is>
          <t>/calculators/discount</t>
        </is>
      </c>
      <c r="K1051" s="5" t="inlineStr">
        <is>
          <t>Clarify the legal tax rule: GST is legally chargeable only on the net discounted transaction value (Sale Price), NOT on the original undiscounted MRP.</t>
        </is>
      </c>
      <c r="L1051" s="4" t="inlineStr">
        <is>
          <t>YES</t>
        </is>
      </c>
      <c r="M1051" s="4" t="inlineStr">
        <is>
          <t>HIGH</t>
        </is>
      </c>
      <c r="N1051" s="4" t="inlineStr">
        <is>
          <t>READY</t>
        </is>
      </c>
      <c r="O1051" s="5" t="inlineStr"/>
      <c r="P1051" s="5" t="inlineStr"/>
      <c r="Q1051" s="5" t="inlineStr"/>
      <c r="R1051" s="5" t="inlineStr"/>
    </row>
    <row r="1052" ht="20" customHeight="1">
      <c r="A1052" s="2" t="inlineStr">
        <is>
          <t>ST1051</t>
        </is>
      </c>
      <c r="B1052" s="3" t="inlineStr">
        <is>
          <t>10% Off Rs 1,000: Quick Calculation and Savings Breakdown</t>
        </is>
      </c>
      <c r="C1052" s="2" t="inlineStr">
        <is>
          <t>General</t>
        </is>
      </c>
      <c r="D1052" s="3" t="inlineStr">
        <is>
          <t>Discount</t>
        </is>
      </c>
      <c r="E1052" s="2" t="inlineStr">
        <is>
          <t>Example</t>
        </is>
      </c>
      <c r="F1052" s="2" t="inlineStr">
        <is>
          <t>Educational</t>
        </is>
      </c>
      <c r="G1052" s="3" t="inlineStr">
        <is>
          <t>10 percent off 1000</t>
        </is>
      </c>
      <c r="H1052" s="3" t="inlineStr">
        <is>
          <t>how much is 10 percent off 1000, sale price for 1000 with 10 discount, savings on 10 percent off</t>
        </is>
      </c>
      <c r="I1052" s="3" t="inlineStr">
        <is>
          <t>Discount Calculator</t>
        </is>
      </c>
      <c r="J1052" s="3" t="inlineStr">
        <is>
          <t>/calculators/discount</t>
        </is>
      </c>
      <c r="K1052" s="3" t="inlineStr">
        <is>
          <t>Provide exact step-by-step mathematical calculations for a 10% discount on an item originally priced at Rs 1,000, calculating exact savings and final checkout amount.</t>
        </is>
      </c>
      <c r="L1052" s="2" t="inlineStr">
        <is>
          <t>YES</t>
        </is>
      </c>
      <c r="M1052" s="2" t="inlineStr">
        <is>
          <t>HIGH</t>
        </is>
      </c>
      <c r="N1052" s="2" t="inlineStr">
        <is>
          <t>READY</t>
        </is>
      </c>
      <c r="O1052" s="3" t="inlineStr"/>
      <c r="P1052" s="3" t="inlineStr"/>
      <c r="Q1052" s="3" t="inlineStr"/>
      <c r="R1052" s="3" t="inlineStr"/>
    </row>
    <row r="1053" ht="20" customHeight="1">
      <c r="A1053" s="4" t="inlineStr">
        <is>
          <t>ST1052</t>
        </is>
      </c>
      <c r="B1053" s="5" t="inlineStr">
        <is>
          <t>15% Off Rs 2,000: Sale Price and Exact Money Saved</t>
        </is>
      </c>
      <c r="C1053" s="4" t="inlineStr">
        <is>
          <t>General</t>
        </is>
      </c>
      <c r="D1053" s="5" t="inlineStr">
        <is>
          <t>Discount</t>
        </is>
      </c>
      <c r="E1053" s="4" t="inlineStr">
        <is>
          <t>Example</t>
        </is>
      </c>
      <c r="F1053" s="4" t="inlineStr">
        <is>
          <t>Educational</t>
        </is>
      </c>
      <c r="G1053" s="5" t="inlineStr">
        <is>
          <t>15 percent off 2000</t>
        </is>
      </c>
      <c r="H1053" s="5" t="inlineStr">
        <is>
          <t>how much is 15 percent off 2000, sale price for 2000 with 15 discount, savings on 15 percent off</t>
        </is>
      </c>
      <c r="I1053" s="5" t="inlineStr">
        <is>
          <t>Discount Calculator</t>
        </is>
      </c>
      <c r="J1053" s="5" t="inlineStr">
        <is>
          <t>/calculators/discount</t>
        </is>
      </c>
      <c r="K1053" s="5" t="inlineStr">
        <is>
          <t>Provide exact step-by-step mathematical calculations for a 15% discount on an item originally priced at Rs 2,000, calculating exact savings and final checkout amount.</t>
        </is>
      </c>
      <c r="L1053" s="4" t="inlineStr">
        <is>
          <t>YES</t>
        </is>
      </c>
      <c r="M1053" s="4" t="inlineStr">
        <is>
          <t>MEDIUM</t>
        </is>
      </c>
      <c r="N1053" s="4" t="inlineStr">
        <is>
          <t>READY</t>
        </is>
      </c>
      <c r="O1053" s="5" t="inlineStr"/>
      <c r="P1053" s="5" t="inlineStr"/>
      <c r="Q1053" s="5" t="inlineStr"/>
      <c r="R1053" s="5" t="inlineStr"/>
    </row>
    <row r="1054" ht="20" customHeight="1">
      <c r="A1054" s="2" t="inlineStr">
        <is>
          <t>ST1053</t>
        </is>
      </c>
      <c r="B1054" s="3" t="inlineStr">
        <is>
          <t>20% Off Rs 1,500: The Fast Division-by-5 Mental Shortcut</t>
        </is>
      </c>
      <c r="C1054" s="2" t="inlineStr">
        <is>
          <t>General</t>
        </is>
      </c>
      <c r="D1054" s="3" t="inlineStr">
        <is>
          <t>Discount</t>
        </is>
      </c>
      <c r="E1054" s="2" t="inlineStr">
        <is>
          <t>Example</t>
        </is>
      </c>
      <c r="F1054" s="2" t="inlineStr">
        <is>
          <t>Educational</t>
        </is>
      </c>
      <c r="G1054" s="3" t="inlineStr">
        <is>
          <t>20 percent off 1500</t>
        </is>
      </c>
      <c r="H1054" s="3" t="inlineStr">
        <is>
          <t>how much is 20 percent off 1500, sale price for 1500 with 20 discount, savings on 20 percent off</t>
        </is>
      </c>
      <c r="I1054" s="3" t="inlineStr">
        <is>
          <t>Discount Calculator</t>
        </is>
      </c>
      <c r="J1054" s="3" t="inlineStr">
        <is>
          <t>/calculators/discount</t>
        </is>
      </c>
      <c r="K1054" s="3" t="inlineStr">
        <is>
          <t>Provide exact step-by-step mathematical calculations for a 20% discount on an item originally priced at Rs 1,500, calculating exact savings and final checkout amount.</t>
        </is>
      </c>
      <c r="L1054" s="2" t="inlineStr">
        <is>
          <t>YES</t>
        </is>
      </c>
      <c r="M1054" s="2" t="inlineStr">
        <is>
          <t>HIGH</t>
        </is>
      </c>
      <c r="N1054" s="2" t="inlineStr">
        <is>
          <t>READY</t>
        </is>
      </c>
      <c r="O1054" s="3" t="inlineStr"/>
      <c r="P1054" s="3" t="inlineStr"/>
      <c r="Q1054" s="3" t="inlineStr"/>
      <c r="R1054" s="3" t="inlineStr"/>
    </row>
    <row r="1055" ht="20" customHeight="1">
      <c r="A1055" s="4" t="inlineStr">
        <is>
          <t>ST1054</t>
        </is>
      </c>
      <c r="B1055" s="5" t="inlineStr">
        <is>
          <t>25% Off Rs 4,000: Quarter-Price Reduction Calculation</t>
        </is>
      </c>
      <c r="C1055" s="4" t="inlineStr">
        <is>
          <t>General</t>
        </is>
      </c>
      <c r="D1055" s="5" t="inlineStr">
        <is>
          <t>Discount</t>
        </is>
      </c>
      <c r="E1055" s="4" t="inlineStr">
        <is>
          <t>Example</t>
        </is>
      </c>
      <c r="F1055" s="4" t="inlineStr">
        <is>
          <t>Educational</t>
        </is>
      </c>
      <c r="G1055" s="5" t="inlineStr">
        <is>
          <t>25 percent off 4000</t>
        </is>
      </c>
      <c r="H1055" s="5" t="inlineStr">
        <is>
          <t>how much is 25 percent off 4000, sale price for 4000 with 25 discount, savings on 25 percent off</t>
        </is>
      </c>
      <c r="I1055" s="5" t="inlineStr">
        <is>
          <t>Discount Calculator</t>
        </is>
      </c>
      <c r="J1055" s="5" t="inlineStr">
        <is>
          <t>/calculators/discount</t>
        </is>
      </c>
      <c r="K1055" s="5" t="inlineStr">
        <is>
          <t>Provide exact step-by-step mathematical calculations for a 25% discount on an item originally priced at Rs 4,000, calculating exact savings and final checkout amount.</t>
        </is>
      </c>
      <c r="L1055" s="4" t="inlineStr">
        <is>
          <t>YES</t>
        </is>
      </c>
      <c r="M1055" s="4" t="inlineStr">
        <is>
          <t>HIGH</t>
        </is>
      </c>
      <c r="N1055" s="4" t="inlineStr">
        <is>
          <t>READY</t>
        </is>
      </c>
      <c r="O1055" s="5" t="inlineStr"/>
      <c r="P1055" s="5" t="inlineStr"/>
      <c r="Q1055" s="5" t="inlineStr"/>
      <c r="R1055" s="5" t="inlineStr"/>
    </row>
    <row r="1056" ht="20" customHeight="1">
      <c r="A1056" s="2" t="inlineStr">
        <is>
          <t>ST1055</t>
        </is>
      </c>
      <c r="B1056" s="3" t="inlineStr">
        <is>
          <t>30% Off Rs 2,500: Mental Math Multiplication Technique</t>
        </is>
      </c>
      <c r="C1056" s="2" t="inlineStr">
        <is>
          <t>General</t>
        </is>
      </c>
      <c r="D1056" s="3" t="inlineStr">
        <is>
          <t>Discount</t>
        </is>
      </c>
      <c r="E1056" s="2" t="inlineStr">
        <is>
          <t>Example</t>
        </is>
      </c>
      <c r="F1056" s="2" t="inlineStr">
        <is>
          <t>Educational</t>
        </is>
      </c>
      <c r="G1056" s="3" t="inlineStr">
        <is>
          <t>30 percent off 2500</t>
        </is>
      </c>
      <c r="H1056" s="3" t="inlineStr">
        <is>
          <t>how much is 30 percent off 2500, sale price for 2500 with 30 discount, savings on 30 percent off</t>
        </is>
      </c>
      <c r="I1056" s="3" t="inlineStr">
        <is>
          <t>Discount Calculator</t>
        </is>
      </c>
      <c r="J1056" s="3" t="inlineStr">
        <is>
          <t>/calculators/discount</t>
        </is>
      </c>
      <c r="K1056" s="3" t="inlineStr">
        <is>
          <t>Provide exact step-by-step mathematical calculations for a 30% discount on an item originally priced at Rs 2,500, calculating exact savings and final checkout amount.</t>
        </is>
      </c>
      <c r="L1056" s="2" t="inlineStr">
        <is>
          <t>YES</t>
        </is>
      </c>
      <c r="M1056" s="2" t="inlineStr">
        <is>
          <t>MEDIUM</t>
        </is>
      </c>
      <c r="N1056" s="2" t="inlineStr">
        <is>
          <t>READY</t>
        </is>
      </c>
      <c r="O1056" s="3" t="inlineStr"/>
      <c r="P1056" s="3" t="inlineStr"/>
      <c r="Q1056" s="3" t="inlineStr"/>
      <c r="R1056" s="3" t="inlineStr"/>
    </row>
    <row r="1057" ht="20" customHeight="1">
      <c r="A1057" s="4" t="inlineStr">
        <is>
          <t>ST1056</t>
        </is>
      </c>
      <c r="B1057" s="5" t="inlineStr">
        <is>
          <t>40% Off Rs 5,000: Step-by-Step Sale Price Breakdown</t>
        </is>
      </c>
      <c r="C1057" s="4" t="inlineStr">
        <is>
          <t>General</t>
        </is>
      </c>
      <c r="D1057" s="5" t="inlineStr">
        <is>
          <t>Discount</t>
        </is>
      </c>
      <c r="E1057" s="4" t="inlineStr">
        <is>
          <t>Example</t>
        </is>
      </c>
      <c r="F1057" s="4" t="inlineStr">
        <is>
          <t>Educational</t>
        </is>
      </c>
      <c r="G1057" s="5" t="inlineStr">
        <is>
          <t>40 percent off 5000</t>
        </is>
      </c>
      <c r="H1057" s="5" t="inlineStr">
        <is>
          <t>how much is 40 percent off 5000, sale price for 5000 with 40 discount, savings on 40 percent off</t>
        </is>
      </c>
      <c r="I1057" s="5" t="inlineStr">
        <is>
          <t>Discount Calculator</t>
        </is>
      </c>
      <c r="J1057" s="5" t="inlineStr">
        <is>
          <t>/calculators/discount</t>
        </is>
      </c>
      <c r="K1057" s="5" t="inlineStr">
        <is>
          <t>Provide exact step-by-step mathematical calculations for a 40% discount on an item originally priced at Rs 5,000, calculating exact savings and final checkout amount.</t>
        </is>
      </c>
      <c r="L1057" s="4" t="inlineStr">
        <is>
          <t>YES</t>
        </is>
      </c>
      <c r="M1057" s="4" t="inlineStr">
        <is>
          <t>MEDIUM</t>
        </is>
      </c>
      <c r="N1057" s="4" t="inlineStr">
        <is>
          <t>READY</t>
        </is>
      </c>
      <c r="O1057" s="5" t="inlineStr"/>
      <c r="P1057" s="5" t="inlineStr"/>
      <c r="Q1057" s="5" t="inlineStr"/>
      <c r="R1057" s="5" t="inlineStr"/>
    </row>
    <row r="1058" ht="20" customHeight="1">
      <c r="A1058" s="2" t="inlineStr">
        <is>
          <t>ST1057</t>
        </is>
      </c>
      <c r="B1058" s="3" t="inlineStr">
        <is>
          <t>50% Off Rs 3,000: Half-Price Shopping Math and Savings</t>
        </is>
      </c>
      <c r="C1058" s="2" t="inlineStr">
        <is>
          <t>General</t>
        </is>
      </c>
      <c r="D1058" s="3" t="inlineStr">
        <is>
          <t>Discount</t>
        </is>
      </c>
      <c r="E1058" s="2" t="inlineStr">
        <is>
          <t>Example</t>
        </is>
      </c>
      <c r="F1058" s="2" t="inlineStr">
        <is>
          <t>Educational</t>
        </is>
      </c>
      <c r="G1058" s="3" t="inlineStr">
        <is>
          <t>50 percent off 3000</t>
        </is>
      </c>
      <c r="H1058" s="3" t="inlineStr">
        <is>
          <t>how much is 50 percent off 3000, sale price for 3000 with 50 discount, savings on 50 percent off</t>
        </is>
      </c>
      <c r="I1058" s="3" t="inlineStr">
        <is>
          <t>Discount Calculator</t>
        </is>
      </c>
      <c r="J1058" s="3" t="inlineStr">
        <is>
          <t>/calculators/discount</t>
        </is>
      </c>
      <c r="K1058" s="3" t="inlineStr">
        <is>
          <t>Provide exact step-by-step mathematical calculations for a 50% discount on an item originally priced at Rs 3,000, calculating exact savings and final checkout amount.</t>
        </is>
      </c>
      <c r="L1058" s="2" t="inlineStr">
        <is>
          <t>YES</t>
        </is>
      </c>
      <c r="M1058" s="2" t="inlineStr">
        <is>
          <t>HIGH</t>
        </is>
      </c>
      <c r="N1058" s="2" t="inlineStr">
        <is>
          <t>READY</t>
        </is>
      </c>
      <c r="O1058" s="3" t="inlineStr"/>
      <c r="P1058" s="3" t="inlineStr"/>
      <c r="Q1058" s="3" t="inlineStr"/>
      <c r="R1058" s="3" t="inlineStr"/>
    </row>
    <row r="1059" ht="20" customHeight="1">
      <c r="A1059" s="4" t="inlineStr">
        <is>
          <t>ST1058</t>
        </is>
      </c>
      <c r="B1059" s="5" t="inlineStr">
        <is>
          <t>60% Off Rs 8,000: Clearance Sale Price and Net Payment</t>
        </is>
      </c>
      <c r="C1059" s="4" t="inlineStr">
        <is>
          <t>General</t>
        </is>
      </c>
      <c r="D1059" s="5" t="inlineStr">
        <is>
          <t>Discount</t>
        </is>
      </c>
      <c r="E1059" s="4" t="inlineStr">
        <is>
          <t>Example</t>
        </is>
      </c>
      <c r="F1059" s="4" t="inlineStr">
        <is>
          <t>Educational</t>
        </is>
      </c>
      <c r="G1059" s="5" t="inlineStr">
        <is>
          <t>60 percent off 8000</t>
        </is>
      </c>
      <c r="H1059" s="5" t="inlineStr">
        <is>
          <t>how much is 60 percent off 8000, sale price for 8000 with 60 discount, savings on 60 percent off</t>
        </is>
      </c>
      <c r="I1059" s="5" t="inlineStr">
        <is>
          <t>Discount Calculator</t>
        </is>
      </c>
      <c r="J1059" s="5" t="inlineStr">
        <is>
          <t>/calculators/discount</t>
        </is>
      </c>
      <c r="K1059" s="5" t="inlineStr">
        <is>
          <t>Provide exact step-by-step mathematical calculations for a 60% discount on an item originally priced at Rs 8,000, calculating exact savings and final checkout amount.</t>
        </is>
      </c>
      <c r="L1059" s="4" t="inlineStr">
        <is>
          <t>YES</t>
        </is>
      </c>
      <c r="M1059" s="4" t="inlineStr">
        <is>
          <t>MEDIUM</t>
        </is>
      </c>
      <c r="N1059" s="4" t="inlineStr">
        <is>
          <t>READY</t>
        </is>
      </c>
      <c r="O1059" s="5" t="inlineStr"/>
      <c r="P1059" s="5" t="inlineStr"/>
      <c r="Q1059" s="5" t="inlineStr"/>
      <c r="R1059" s="5" t="inlineStr"/>
    </row>
    <row r="1060" ht="20" customHeight="1">
      <c r="A1060" s="2" t="inlineStr">
        <is>
          <t>ST1059</t>
        </is>
      </c>
      <c r="B1060" s="3" t="inlineStr">
        <is>
          <t>70% Off Rs 10,000: Heavy Clearance Discount Calculation</t>
        </is>
      </c>
      <c r="C1060" s="2" t="inlineStr">
        <is>
          <t>General</t>
        </is>
      </c>
      <c r="D1060" s="3" t="inlineStr">
        <is>
          <t>Discount</t>
        </is>
      </c>
      <c r="E1060" s="2" t="inlineStr">
        <is>
          <t>Example</t>
        </is>
      </c>
      <c r="F1060" s="2" t="inlineStr">
        <is>
          <t>Educational</t>
        </is>
      </c>
      <c r="G1060" s="3" t="inlineStr">
        <is>
          <t>70 percent off 10000</t>
        </is>
      </c>
      <c r="H1060" s="3" t="inlineStr">
        <is>
          <t>how much is 70 percent off 10000, sale price for 10000 with 70 discount, savings on 70 percent off</t>
        </is>
      </c>
      <c r="I1060" s="3" t="inlineStr">
        <is>
          <t>Discount Calculator</t>
        </is>
      </c>
      <c r="J1060" s="3" t="inlineStr">
        <is>
          <t>/calculators/discount</t>
        </is>
      </c>
      <c r="K1060" s="3" t="inlineStr">
        <is>
          <t>Provide exact step-by-step mathematical calculations for a 70% discount on an item originally priced at Rs 10,000, calculating exact savings and final checkout amount.</t>
        </is>
      </c>
      <c r="L1060" s="2" t="inlineStr">
        <is>
          <t>YES</t>
        </is>
      </c>
      <c r="M1060" s="2" t="inlineStr">
        <is>
          <t>MEDIUM</t>
        </is>
      </c>
      <c r="N1060" s="2" t="inlineStr">
        <is>
          <t>READY</t>
        </is>
      </c>
      <c r="O1060" s="3" t="inlineStr"/>
      <c r="P1060" s="3" t="inlineStr"/>
      <c r="Q1060" s="3" t="inlineStr"/>
      <c r="R1060" s="3" t="inlineStr"/>
    </row>
    <row r="1061" ht="20" customHeight="1">
      <c r="A1061" s="4" t="inlineStr">
        <is>
          <t>ST1060</t>
        </is>
      </c>
      <c r="B1061" s="5" t="inlineStr">
        <is>
          <t>75% Off Rs 12,000: Paying Exactly One-Fourth of MRP</t>
        </is>
      </c>
      <c r="C1061" s="4" t="inlineStr">
        <is>
          <t>General</t>
        </is>
      </c>
      <c r="D1061" s="5" t="inlineStr">
        <is>
          <t>Discount</t>
        </is>
      </c>
      <c r="E1061" s="4" t="inlineStr">
        <is>
          <t>Example</t>
        </is>
      </c>
      <c r="F1061" s="4" t="inlineStr">
        <is>
          <t>Educational</t>
        </is>
      </c>
      <c r="G1061" s="5" t="inlineStr">
        <is>
          <t>75 percent off 12000</t>
        </is>
      </c>
      <c r="H1061" s="5" t="inlineStr">
        <is>
          <t>how much is 75 percent off 12000, sale price for 12000 with 75 discount, savings on 75 percent off</t>
        </is>
      </c>
      <c r="I1061" s="5" t="inlineStr">
        <is>
          <t>Discount Calculator</t>
        </is>
      </c>
      <c r="J1061" s="5" t="inlineStr">
        <is>
          <t>/calculators/discount</t>
        </is>
      </c>
      <c r="K1061" s="5" t="inlineStr">
        <is>
          <t>Provide exact step-by-step mathematical calculations for a 75% discount on an item originally priced at Rs 12,000, calculating exact savings and final checkout amount.</t>
        </is>
      </c>
      <c r="L1061" s="4" t="inlineStr">
        <is>
          <t>YES</t>
        </is>
      </c>
      <c r="M1061" s="4" t="inlineStr">
        <is>
          <t>MEDIUM</t>
        </is>
      </c>
      <c r="N1061" s="4" t="inlineStr">
        <is>
          <t>READY</t>
        </is>
      </c>
      <c r="O1061" s="5" t="inlineStr"/>
      <c r="P1061" s="5" t="inlineStr"/>
      <c r="Q1061" s="5" t="inlineStr"/>
      <c r="R1061" s="5" t="inlineStr"/>
    </row>
    <row r="1062" ht="20" customHeight="1">
      <c r="A1062" s="2" t="inlineStr">
        <is>
          <t>ST1061</t>
        </is>
      </c>
      <c r="B1062" s="3" t="inlineStr">
        <is>
          <t>Profit and Loss Formulas: Cost Price (CP), Selling Price (SP), and Margin Calculation</t>
        </is>
      </c>
      <c r="C1062" s="2" t="inlineStr">
        <is>
          <t>General</t>
        </is>
      </c>
      <c r="D1062" s="3" t="inlineStr">
        <is>
          <t>Profit/Loss</t>
        </is>
      </c>
      <c r="E1062" s="2" t="inlineStr">
        <is>
          <t>Formula Guide</t>
        </is>
      </c>
      <c r="F1062" s="2" t="inlineStr">
        <is>
          <t>How-To</t>
        </is>
      </c>
      <c r="G1062" s="3" t="inlineStr">
        <is>
          <t>profit and loss formula</t>
        </is>
      </c>
      <c r="H1062" s="3" t="inlineStr">
        <is>
          <t>cost price selling price formula, profit percentage formula, loss percentage calculation</t>
        </is>
      </c>
      <c r="I1062" s="3" t="inlineStr">
        <is>
          <t>Profit and Loss Calculator</t>
        </is>
      </c>
      <c r="J1062" s="3" t="inlineStr">
        <is>
          <t>/calculators/profit-loss</t>
        </is>
      </c>
      <c r="K1062" s="3" t="inlineStr">
        <is>
          <t>Formulas: Profit = SP - CP, Loss = CP - SP. Profit % = (Profit / CP) * 100, Loss % = (Loss / CP) * 100. Explain why Cost Price is always the base denominator.</t>
        </is>
      </c>
      <c r="L1062" s="2" t="inlineStr">
        <is>
          <t>YES</t>
        </is>
      </c>
      <c r="M1062" s="2" t="inlineStr">
        <is>
          <t>HIGH</t>
        </is>
      </c>
      <c r="N1062" s="2" t="inlineStr">
        <is>
          <t>READY</t>
        </is>
      </c>
      <c r="O1062" s="3" t="inlineStr"/>
      <c r="P1062" s="3" t="inlineStr"/>
      <c r="Q1062" s="3" t="inlineStr"/>
      <c r="R1062" s="3" t="inlineStr"/>
    </row>
    <row r="1063" ht="20" customHeight="1">
      <c r="A1063" s="4" t="inlineStr">
        <is>
          <t>ST1062</t>
        </is>
      </c>
      <c r="B1063" s="5" t="inlineStr">
        <is>
          <t>Profit Percentage vs Profit Margin: Understanding the Critical Business Difference</t>
        </is>
      </c>
      <c r="C1063" s="4" t="inlineStr">
        <is>
          <t>General</t>
        </is>
      </c>
      <c r="D1063" s="5" t="inlineStr">
        <is>
          <t>Profit/Loss</t>
        </is>
      </c>
      <c r="E1063" s="4" t="inlineStr">
        <is>
          <t>Comparison</t>
        </is>
      </c>
      <c r="F1063" s="4" t="inlineStr">
        <is>
          <t>Educational</t>
        </is>
      </c>
      <c r="G1063" s="5" t="inlineStr">
        <is>
          <t>profit percentage vs profit margin</t>
        </is>
      </c>
      <c r="H1063" s="5" t="inlineStr">
        <is>
          <t>markup vs margin formula, gross margin vs profit on cost, difference between markup and margin</t>
        </is>
      </c>
      <c r="I1063" s="5" t="inlineStr">
        <is>
          <t>Profit and Loss Calculator</t>
        </is>
      </c>
      <c r="J1063" s="5" t="inlineStr">
        <is>
          <t>/calculators/profit-loss</t>
        </is>
      </c>
      <c r="K1063" s="5" t="inlineStr">
        <is>
          <t>Contrast Profit Percentage (Markup = Profit / Cost Price) with Profit Margin (Margin = Profit / Selling Price). Show why a 25% markup equals a 20% margin.</t>
        </is>
      </c>
      <c r="L1063" s="4" t="inlineStr">
        <is>
          <t>YES</t>
        </is>
      </c>
      <c r="M1063" s="4" t="inlineStr">
        <is>
          <t>HIGH</t>
        </is>
      </c>
      <c r="N1063" s="4" t="inlineStr">
        <is>
          <t>READY</t>
        </is>
      </c>
      <c r="O1063" s="5" t="inlineStr"/>
      <c r="P1063" s="5" t="inlineStr"/>
      <c r="Q1063" s="5" t="inlineStr"/>
      <c r="R1063" s="5" t="inlineStr"/>
    </row>
    <row r="1064" ht="20" customHeight="1">
      <c r="A1064" s="2" t="inlineStr">
        <is>
          <t>ST1063</t>
        </is>
      </c>
      <c r="B1064" s="3" t="inlineStr">
        <is>
          <t>How to Calculate Selling Price Given Cost Price and Desired Profit Percentage</t>
        </is>
      </c>
      <c r="C1064" s="2" t="inlineStr">
        <is>
          <t>General</t>
        </is>
      </c>
      <c r="D1064" s="3" t="inlineStr">
        <is>
          <t>Profit/Loss</t>
        </is>
      </c>
      <c r="E1064" s="2" t="inlineStr">
        <is>
          <t>Formula Guide</t>
        </is>
      </c>
      <c r="F1064" s="2" t="inlineStr">
        <is>
          <t>How-To</t>
        </is>
      </c>
      <c r="G1064" s="3" t="inlineStr">
        <is>
          <t>how to calculate selling price with profit percentage</t>
        </is>
      </c>
      <c r="H1064" s="3" t="inlineStr">
        <is>
          <t>selling price formula, sp from cp and profit percent, pricing product for target profit</t>
        </is>
      </c>
      <c r="I1064" s="3" t="inlineStr">
        <is>
          <t>Profit and Loss Calculator</t>
        </is>
      </c>
      <c r="J1064" s="3" t="inlineStr">
        <is>
          <t>/calculators/profit-loss</t>
        </is>
      </c>
      <c r="K1064" s="3" t="inlineStr">
        <is>
          <t>Formula: SP = CP * (1 + Profit% / 100). Step-by-step worked examples for retail merchandise and freelance service pricing.</t>
        </is>
      </c>
      <c r="L1064" s="2" t="inlineStr">
        <is>
          <t>YES</t>
        </is>
      </c>
      <c r="M1064" s="2" t="inlineStr">
        <is>
          <t>HIGH</t>
        </is>
      </c>
      <c r="N1064" s="2" t="inlineStr">
        <is>
          <t>READY</t>
        </is>
      </c>
      <c r="O1064" s="3" t="inlineStr"/>
      <c r="P1064" s="3" t="inlineStr"/>
      <c r="Q1064" s="3" t="inlineStr"/>
      <c r="R1064" s="3" t="inlineStr"/>
    </row>
    <row r="1065" ht="20" customHeight="1">
      <c r="A1065" s="4" t="inlineStr">
        <is>
          <t>ST1064</t>
        </is>
      </c>
      <c r="B1065" s="5" t="inlineStr">
        <is>
          <t>How to Calculate Cost Price Given Selling Price and Loss Percentage</t>
        </is>
      </c>
      <c r="C1065" s="4" t="inlineStr">
        <is>
          <t>General</t>
        </is>
      </c>
      <c r="D1065" s="5" t="inlineStr">
        <is>
          <t>Profit/Loss</t>
        </is>
      </c>
      <c r="E1065" s="4" t="inlineStr">
        <is>
          <t>Formula Guide</t>
        </is>
      </c>
      <c r="F1065" s="4" t="inlineStr">
        <is>
          <t>How-To</t>
        </is>
      </c>
      <c r="G1065" s="5" t="inlineStr">
        <is>
          <t>how to calculate cost price from selling price and loss</t>
        </is>
      </c>
      <c r="H1065" s="5" t="inlineStr">
        <is>
          <t>cost price formula when loss is given, cp from sp and loss percent, reverse cost price calculation</t>
        </is>
      </c>
      <c r="I1065" s="5" t="inlineStr">
        <is>
          <t>Profit and Loss Calculator</t>
        </is>
      </c>
      <c r="J1065" s="5" t="inlineStr">
        <is>
          <t>/calculators/profit-loss</t>
        </is>
      </c>
      <c r="K1065" s="5" t="inlineStr">
        <is>
          <t>Formula: CP = SP / (1 - Loss% / 100). Address the classic student fallacy of simply adding the loss percentage to the selling price.</t>
        </is>
      </c>
      <c r="L1065" s="4" t="inlineStr">
        <is>
          <t>YES</t>
        </is>
      </c>
      <c r="M1065" s="4" t="inlineStr">
        <is>
          <t>HIGH</t>
        </is>
      </c>
      <c r="N1065" s="4" t="inlineStr">
        <is>
          <t>READY</t>
        </is>
      </c>
      <c r="O1065" s="5" t="inlineStr"/>
      <c r="P1065" s="5" t="inlineStr"/>
      <c r="Q1065" s="5" t="inlineStr"/>
      <c r="R1065" s="5" t="inlineStr"/>
    </row>
    <row r="1066" ht="20" customHeight="1">
      <c r="A1066" s="2" t="inlineStr">
        <is>
          <t>ST1065</t>
        </is>
      </c>
      <c r="B1066" s="3" t="inlineStr">
        <is>
          <t>Break-Even Point (BEP) Formula: How Many Units Must You Sell to Cover Costs?</t>
        </is>
      </c>
      <c r="C1066" s="2" t="inlineStr">
        <is>
          <t>General</t>
        </is>
      </c>
      <c r="D1066" s="3" t="inlineStr">
        <is>
          <t>Profit/Loss</t>
        </is>
      </c>
      <c r="E1066" s="2" t="inlineStr">
        <is>
          <t>Formula Guide</t>
        </is>
      </c>
      <c r="F1066" s="2" t="inlineStr">
        <is>
          <t>Educational</t>
        </is>
      </c>
      <c r="G1066" s="3" t="inlineStr">
        <is>
          <t>break even point calculation formula</t>
        </is>
      </c>
      <c r="H1066" s="3" t="inlineStr">
        <is>
          <t>bep in units formula, fixed cost vs variable cost, break even analysis business</t>
        </is>
      </c>
      <c r="I1066" s="3" t="inlineStr">
        <is>
          <t>Profit and Loss Calculator</t>
        </is>
      </c>
      <c r="J1066" s="3" t="inlineStr">
        <is>
          <t>/calculators/profit-loss</t>
        </is>
      </c>
      <c r="K1066" s="3" t="inlineStr">
        <is>
          <t>Formula: BEP (units) = Fixed Costs / (Selling Price per Unit - Variable Cost per Unit). Explain contribution margin and financial break-even.</t>
        </is>
      </c>
      <c r="L1066" s="2" t="inlineStr">
        <is>
          <t>YES</t>
        </is>
      </c>
      <c r="M1066" s="2" t="inlineStr">
        <is>
          <t>HIGH</t>
        </is>
      </c>
      <c r="N1066" s="2" t="inlineStr">
        <is>
          <t>READY</t>
        </is>
      </c>
      <c r="O1066" s="3" t="inlineStr"/>
      <c r="P1066" s="3" t="inlineStr"/>
      <c r="Q1066" s="3" t="inlineStr"/>
      <c r="R1066" s="3" t="inlineStr"/>
    </row>
    <row r="1067" ht="20" customHeight="1">
      <c r="A1067" s="4" t="inlineStr">
        <is>
          <t>ST1066</t>
        </is>
      </c>
      <c r="B1067" s="5" t="inlineStr">
        <is>
          <t>Dishonest Dealer Problems: How False Weights and Measure Manipulation Generate Illicit Profit</t>
        </is>
      </c>
      <c r="C1067" s="4" t="inlineStr">
        <is>
          <t>General</t>
        </is>
      </c>
      <c r="D1067" s="5" t="inlineStr">
        <is>
          <t>Profit/Loss</t>
        </is>
      </c>
      <c r="E1067" s="4" t="inlineStr">
        <is>
          <t>Explanation</t>
        </is>
      </c>
      <c r="F1067" s="4" t="inlineStr">
        <is>
          <t>Educational</t>
        </is>
      </c>
      <c r="G1067" s="5" t="inlineStr">
        <is>
          <t>dishonest dealer profit formula</t>
        </is>
      </c>
      <c r="H1067" s="5" t="inlineStr">
        <is>
          <t>false weight profit percentage formula, cheating dealer math aptitude, error weight profit</t>
        </is>
      </c>
      <c r="I1067" s="5" t="inlineStr">
        <is>
          <t>Profit and Loss Calculator</t>
        </is>
      </c>
      <c r="J1067" s="5" t="inlineStr">
        <is>
          <t>/calculators/profit-loss</t>
        </is>
      </c>
      <c r="K1067" s="5" t="inlineStr">
        <is>
          <t>Formula: Gain % = [Error / (True Value - Error)] * 100. Solve classic quantitative aptitude problems where a merchant sells 900g for the price of 1,000g.</t>
        </is>
      </c>
      <c r="L1067" s="4" t="inlineStr">
        <is>
          <t>YES</t>
        </is>
      </c>
      <c r="M1067" s="4" t="inlineStr">
        <is>
          <t>HIGH</t>
        </is>
      </c>
      <c r="N1067" s="4" t="inlineStr">
        <is>
          <t>READY</t>
        </is>
      </c>
      <c r="O1067" s="5" t="inlineStr"/>
      <c r="P1067" s="5" t="inlineStr"/>
      <c r="Q1067" s="5" t="inlineStr"/>
      <c r="R1067" s="5" t="inlineStr"/>
    </row>
    <row r="1068" ht="20" customHeight="1">
      <c r="A1068" s="2" t="inlineStr">
        <is>
          <t>ST1067</t>
        </is>
      </c>
      <c r="B1068" s="3" t="inlineStr">
        <is>
          <t>Selling Two Items at the Same Price: One at a Profit and One at an Equal Loss</t>
        </is>
      </c>
      <c r="C1068" s="2" t="inlineStr">
        <is>
          <t>General</t>
        </is>
      </c>
      <c r="D1068" s="3" t="inlineStr">
        <is>
          <t>Profit/Loss</t>
        </is>
      </c>
      <c r="E1068" s="2" t="inlineStr">
        <is>
          <t>Explanation</t>
        </is>
      </c>
      <c r="F1068" s="2" t="inlineStr">
        <is>
          <t>Educational</t>
        </is>
      </c>
      <c r="G1068" s="3" t="inlineStr">
        <is>
          <t>two items sold at same price profit and loss formula</t>
        </is>
      </c>
      <c r="H1068" s="3" t="inlineStr">
        <is>
          <t>always loss formula sp same, common loss percentage (x/10)^2, quantitative aptitude profit loss trick</t>
        </is>
      </c>
      <c r="I1068" s="3" t="inlineStr">
        <is>
          <t>Profit and Loss Calculator</t>
        </is>
      </c>
      <c r="J1068" s="3" t="inlineStr">
        <is>
          <t>/calculators/profit-loss</t>
        </is>
      </c>
      <c r="K1068" s="3" t="inlineStr">
        <is>
          <t>Prove mathematically why selling two items at equal selling price with $x\%$ profit and $x\%$ loss always results in an overall net loss of $(x/10)^2$ percent.</t>
        </is>
      </c>
      <c r="L1068" s="2" t="inlineStr">
        <is>
          <t>YES</t>
        </is>
      </c>
      <c r="M1068" s="2" t="inlineStr">
        <is>
          <t>HIGH</t>
        </is>
      </c>
      <c r="N1068" s="2" t="inlineStr">
        <is>
          <t>READY</t>
        </is>
      </c>
      <c r="O1068" s="3" t="inlineStr"/>
      <c r="P1068" s="3" t="inlineStr"/>
      <c r="Q1068" s="3" t="inlineStr"/>
      <c r="R1068" s="3" t="inlineStr"/>
    </row>
    <row r="1069" ht="20" customHeight="1">
      <c r="A1069" s="4" t="inlineStr">
        <is>
          <t>ST1068</t>
        </is>
      </c>
      <c r="B1069" s="5" t="inlineStr">
        <is>
          <t>Gross Profit vs Net Profit: Operating Expenses and Bottom-Line Reality</t>
        </is>
      </c>
      <c r="C1069" s="4" t="inlineStr">
        <is>
          <t>General</t>
        </is>
      </c>
      <c r="D1069" s="5" t="inlineStr">
        <is>
          <t>Profit/Loss</t>
        </is>
      </c>
      <c r="E1069" s="4" t="inlineStr">
        <is>
          <t>Comparison</t>
        </is>
      </c>
      <c r="F1069" s="4" t="inlineStr">
        <is>
          <t>Educational</t>
        </is>
      </c>
      <c r="G1069" s="5" t="inlineStr">
        <is>
          <t>gross profit vs net profit difference</t>
        </is>
      </c>
      <c r="H1069" s="5" t="inlineStr">
        <is>
          <t>ebitda vs net profit, operating profit margin formula, calculating bottom line profit</t>
        </is>
      </c>
      <c r="I1069" s="5" t="inlineStr">
        <is>
          <t>Profit and Loss Calculator</t>
        </is>
      </c>
      <c r="J1069" s="5" t="inlineStr">
        <is>
          <t>/calculators/profit-loss</t>
        </is>
      </c>
      <c r="K1069" s="5" t="inlineStr">
        <is>
          <t>Compare Gross Profit (Revenue minus COGS) with Net Profit (after deducting salaries, rent, depreciation, interest, and corporate income taxes).</t>
        </is>
      </c>
      <c r="L1069" s="4" t="inlineStr">
        <is>
          <t>YES</t>
        </is>
      </c>
      <c r="M1069" s="4" t="inlineStr">
        <is>
          <t>HIGH</t>
        </is>
      </c>
      <c r="N1069" s="4" t="inlineStr">
        <is>
          <t>READY</t>
        </is>
      </c>
      <c r="O1069" s="5" t="inlineStr"/>
      <c r="P1069" s="5" t="inlineStr"/>
      <c r="Q1069" s="5" t="inlineStr"/>
      <c r="R1069" s="5" t="inlineStr"/>
    </row>
    <row r="1070" ht="20" customHeight="1">
      <c r="A1070" s="2" t="inlineStr">
        <is>
          <t>ST1069</t>
        </is>
      </c>
      <c r="B1070" s="3" t="inlineStr">
        <is>
          <t>How Overhead Costs (Shipping, Packaging, Marketing) Shift Your True Cost Price</t>
        </is>
      </c>
      <c r="C1070" s="2" t="inlineStr">
        <is>
          <t>General</t>
        </is>
      </c>
      <c r="D1070" s="3" t="inlineStr">
        <is>
          <t>Profit/Loss</t>
        </is>
      </c>
      <c r="E1070" s="2" t="inlineStr">
        <is>
          <t>Guide</t>
        </is>
      </c>
      <c r="F1070" s="2" t="inlineStr">
        <is>
          <t>How-To</t>
        </is>
      </c>
      <c r="G1070" s="3" t="inlineStr">
        <is>
          <t>how to calculate true cost price with overheads</t>
        </is>
      </c>
      <c r="H1070" s="3" t="inlineStr">
        <is>
          <t>cogs calculation ecommerce, factoring shipping into cost price, landed cost formula</t>
        </is>
      </c>
      <c r="I1070" s="3" t="inlineStr">
        <is>
          <t>Profit and Loss Calculator</t>
        </is>
      </c>
      <c r="J1070" s="3" t="inlineStr">
        <is>
          <t>/calculators/profit-loss</t>
        </is>
      </c>
      <c r="K1070" s="3" t="inlineStr">
        <is>
          <t>Formula: Effective CP = Raw Material + Labor + Packaging + Shipping + Payment Gateway Fees. Show why ignoring overheads leads to phantom profits.</t>
        </is>
      </c>
      <c r="L1070" s="2" t="inlineStr">
        <is>
          <t>YES</t>
        </is>
      </c>
      <c r="M1070" s="2" t="inlineStr">
        <is>
          <t>HIGH</t>
        </is>
      </c>
      <c r="N1070" s="2" t="inlineStr">
        <is>
          <t>READY</t>
        </is>
      </c>
      <c r="O1070" s="3" t="inlineStr"/>
      <c r="P1070" s="3" t="inlineStr"/>
      <c r="Q1070" s="3" t="inlineStr"/>
      <c r="R1070" s="3" t="inlineStr"/>
    </row>
    <row r="1071" ht="20" customHeight="1">
      <c r="A1071" s="4" t="inlineStr">
        <is>
          <t>ST1070</t>
        </is>
      </c>
      <c r="B1071" s="5" t="inlineStr">
        <is>
          <t>Loss Leader Pricing Strategy: Why Companies Deliberately Sell at a Loss</t>
        </is>
      </c>
      <c r="C1071" s="4" t="inlineStr">
        <is>
          <t>General</t>
        </is>
      </c>
      <c r="D1071" s="5" t="inlineStr">
        <is>
          <t>Profit/Loss</t>
        </is>
      </c>
      <c r="E1071" s="4" t="inlineStr">
        <is>
          <t>Explanation</t>
        </is>
      </c>
      <c r="F1071" s="4" t="inlineStr">
        <is>
          <t>Informational</t>
        </is>
      </c>
      <c r="G1071" s="5" t="inlineStr">
        <is>
          <t>loss leader pricing strategy examples</t>
        </is>
      </c>
      <c r="H1071" s="5" t="inlineStr">
        <is>
          <t>selling below cost price business strategy, razor and blade pricing model, why supermarkets sell at loss</t>
        </is>
      </c>
      <c r="I1071" s="5" t="inlineStr">
        <is>
          <t>Profit and Loss Calculator</t>
        </is>
      </c>
      <c r="J1071" s="5" t="inlineStr">
        <is>
          <t>/calculators/profit-loss</t>
        </is>
      </c>
      <c r="K1071" s="5" t="inlineStr">
        <is>
          <t>Explain retail economics: selling printers, gaming consoles, or staple groceries at a loss to monetize recurring cartridges, games, or high-margin basket items.</t>
        </is>
      </c>
      <c r="L1071" s="4" t="inlineStr">
        <is>
          <t>YES</t>
        </is>
      </c>
      <c r="M1071" s="4" t="inlineStr">
        <is>
          <t>MEDIUM</t>
        </is>
      </c>
      <c r="N1071" s="4" t="inlineStr">
        <is>
          <t>READY</t>
        </is>
      </c>
      <c r="O1071" s="5" t="inlineStr"/>
      <c r="P1071" s="5" t="inlineStr"/>
      <c r="Q1071" s="5" t="inlineStr"/>
      <c r="R1071" s="5" t="inlineStr"/>
    </row>
    <row r="1072" ht="20" customHeight="1">
      <c r="A1072" s="2" t="inlineStr">
        <is>
          <t>ST1071</t>
        </is>
      </c>
      <c r="B1072" s="3" t="inlineStr">
        <is>
          <t>How to Calculate Profit or Loss When Discount Is Offered on Marked Price (MRP)</t>
        </is>
      </c>
      <c r="C1072" s="2" t="inlineStr">
        <is>
          <t>General</t>
        </is>
      </c>
      <c r="D1072" s="3" t="inlineStr">
        <is>
          <t>Profit/Loss</t>
        </is>
      </c>
      <c r="E1072" s="2" t="inlineStr">
        <is>
          <t>Formula Guide</t>
        </is>
      </c>
      <c r="F1072" s="2" t="inlineStr">
        <is>
          <t>How-To</t>
        </is>
      </c>
      <c r="G1072" s="3" t="inlineStr">
        <is>
          <t>profit and loss with discount and marked price</t>
        </is>
      </c>
      <c r="H1072" s="3" t="inlineStr">
        <is>
          <t>relationship between cp sp and marked price, discount on mrp profit formula, markup discount profit math</t>
        </is>
      </c>
      <c r="I1072" s="3" t="inlineStr">
        <is>
          <t>Profit and Loss Calculator</t>
        </is>
      </c>
      <c r="J1072" s="3" t="inlineStr">
        <is>
          <t>/calculators/profit-loss</t>
        </is>
      </c>
      <c r="K1072" s="3" t="inlineStr">
        <is>
          <t>Derive the composite formula: $CP \times (1 + \text{Markup}\%) \times (1 - \text{Discount}\%) = SP$. Solve worked business problems.</t>
        </is>
      </c>
      <c r="L1072" s="2" t="inlineStr">
        <is>
          <t>YES</t>
        </is>
      </c>
      <c r="M1072" s="2" t="inlineStr">
        <is>
          <t>HIGH</t>
        </is>
      </c>
      <c r="N1072" s="2" t="inlineStr">
        <is>
          <t>READY</t>
        </is>
      </c>
      <c r="O1072" s="3" t="inlineStr"/>
      <c r="P1072" s="3" t="inlineStr"/>
      <c r="Q1072" s="3" t="inlineStr"/>
      <c r="R1072" s="3" t="inlineStr"/>
    </row>
    <row r="1073" ht="20" customHeight="1">
      <c r="A1073" s="4" t="inlineStr">
        <is>
          <t>ST1072</t>
        </is>
      </c>
      <c r="B1073" s="5" t="inlineStr">
        <is>
          <t>Return on Investment (ROI) vs Profit Margin: Evaluating Business Efficiency</t>
        </is>
      </c>
      <c r="C1073" s="4" t="inlineStr">
        <is>
          <t>General</t>
        </is>
      </c>
      <c r="D1073" s="5" t="inlineStr">
        <is>
          <t>Profit/Loss</t>
        </is>
      </c>
      <c r="E1073" s="4" t="inlineStr">
        <is>
          <t>Comparison</t>
        </is>
      </c>
      <c r="F1073" s="4" t="inlineStr">
        <is>
          <t>Educational</t>
        </is>
      </c>
      <c r="G1073" s="5" t="inlineStr">
        <is>
          <t>roi vs profit margin comparison</t>
        </is>
      </c>
      <c r="H1073" s="5" t="inlineStr">
        <is>
          <t>return on capital employed vs margin, business profitability metrics, roi formula</t>
        </is>
      </c>
      <c r="I1073" s="5" t="inlineStr">
        <is>
          <t>Profit and Loss Calculator</t>
        </is>
      </c>
      <c r="J1073" s="5" t="inlineStr">
        <is>
          <t>/calculators/profit-loss</t>
        </is>
      </c>
      <c r="K1073" s="5" t="inlineStr">
        <is>
          <t>Contrast Profit Margin (profit per rupee of revenue) with ROI (profit generated per rupee of invested capital), explaining capital efficiency.</t>
        </is>
      </c>
      <c r="L1073" s="4" t="inlineStr">
        <is>
          <t>YES</t>
        </is>
      </c>
      <c r="M1073" s="4" t="inlineStr">
        <is>
          <t>HIGH</t>
        </is>
      </c>
      <c r="N1073" s="4" t="inlineStr">
        <is>
          <t>READY</t>
        </is>
      </c>
      <c r="O1073" s="5" t="inlineStr"/>
      <c r="P1073" s="5" t="inlineStr"/>
      <c r="Q1073" s="5" t="inlineStr"/>
      <c r="R1073" s="5" t="inlineStr"/>
    </row>
    <row r="1074" ht="20" customHeight="1">
      <c r="A1074" s="2" t="inlineStr">
        <is>
          <t>ST1073</t>
        </is>
      </c>
      <c r="B1074" s="3" t="inlineStr">
        <is>
          <t>Understanding Dead Stock and Inventory Depreciation: When to Sell at a Loss</t>
        </is>
      </c>
      <c r="C1074" s="2" t="inlineStr">
        <is>
          <t>General</t>
        </is>
      </c>
      <c r="D1074" s="3" t="inlineStr">
        <is>
          <t>Profit/Loss</t>
        </is>
      </c>
      <c r="E1074" s="2" t="inlineStr">
        <is>
          <t>Guide</t>
        </is>
      </c>
      <c r="F1074" s="2" t="inlineStr">
        <is>
          <t>Planning</t>
        </is>
      </c>
      <c r="G1074" s="3" t="inlineStr">
        <is>
          <t>when to liquidate inventory at a loss</t>
        </is>
      </c>
      <c r="H1074" s="3" t="inlineStr">
        <is>
          <t>dead stock write off calculation, holding cost vs loss sale, inventory liquidation math</t>
        </is>
      </c>
      <c r="I1074" s="3" t="inlineStr">
        <is>
          <t>Profit and Loss Calculator</t>
        </is>
      </c>
      <c r="J1074" s="3" t="inlineStr">
        <is>
          <t>/calculators/profit-loss</t>
        </is>
      </c>
      <c r="K1074" s="3" t="inlineStr">
        <is>
          <t>Show mathematically why liquidating slow-moving inventory at a 20% loss frees up capital that yields 50% when reinvested into fast-moving stock.</t>
        </is>
      </c>
      <c r="L1074" s="2" t="inlineStr">
        <is>
          <t>YES</t>
        </is>
      </c>
      <c r="M1074" s="2" t="inlineStr">
        <is>
          <t>MEDIUM</t>
        </is>
      </c>
      <c r="N1074" s="2" t="inlineStr">
        <is>
          <t>READY</t>
        </is>
      </c>
      <c r="O1074" s="3" t="inlineStr"/>
      <c r="P1074" s="3" t="inlineStr"/>
      <c r="Q1074" s="3" t="inlineStr"/>
      <c r="R1074" s="3" t="inlineStr"/>
    </row>
    <row r="1075" ht="20" customHeight="1">
      <c r="A1075" s="4" t="inlineStr">
        <is>
          <t>ST1074</t>
        </is>
      </c>
      <c r="B1075" s="5" t="inlineStr">
        <is>
          <t>How to Build a Simple Profit and Loss Projection Spreadsheet for a Startup</t>
        </is>
      </c>
      <c r="C1075" s="4" t="inlineStr">
        <is>
          <t>General</t>
        </is>
      </c>
      <c r="D1075" s="5" t="inlineStr">
        <is>
          <t>Profit/Loss</t>
        </is>
      </c>
      <c r="E1075" s="4" t="inlineStr">
        <is>
          <t>How-To</t>
        </is>
      </c>
      <c r="F1075" s="4" t="inlineStr">
        <is>
          <t>How-To</t>
        </is>
      </c>
      <c r="G1075" s="5" t="inlineStr">
        <is>
          <t>how to make profit and loss projection</t>
        </is>
      </c>
      <c r="H1075" s="5" t="inlineStr">
        <is>
          <t>p&amp;l statement template excel, forecasting revenue and expenses, monthly profit projection</t>
        </is>
      </c>
      <c r="I1075" s="5" t="inlineStr">
        <is>
          <t>Profit and Loss Calculator</t>
        </is>
      </c>
      <c r="J1075" s="5" t="inlineStr">
        <is>
          <t>/calculators/profit-loss</t>
        </is>
      </c>
      <c r="K1075" s="5" t="inlineStr">
        <is>
          <t>Step-by-step guide to setting up Revenue, Cost of Goods Sold, Gross Profit, Operating Expenses (Opex), and Net Profit before Tax.</t>
        </is>
      </c>
      <c r="L1075" s="4" t="inlineStr">
        <is>
          <t>YES</t>
        </is>
      </c>
      <c r="M1075" s="4" t="inlineStr">
        <is>
          <t>HIGH</t>
        </is>
      </c>
      <c r="N1075" s="4" t="inlineStr">
        <is>
          <t>READY</t>
        </is>
      </c>
      <c r="O1075" s="5" t="inlineStr"/>
      <c r="P1075" s="5" t="inlineStr"/>
      <c r="Q1075" s="5" t="inlineStr"/>
      <c r="R1075" s="5" t="inlineStr"/>
    </row>
    <row r="1076" ht="20" customHeight="1">
      <c r="A1076" s="2" t="inlineStr">
        <is>
          <t>ST1075</t>
        </is>
      </c>
      <c r="B1076" s="3" t="inlineStr">
        <is>
          <t>Summary Guide: Essential Formulas for Profit, Loss, Margins, and Markup</t>
        </is>
      </c>
      <c r="C1076" s="2" t="inlineStr">
        <is>
          <t>General</t>
        </is>
      </c>
      <c r="D1076" s="3" t="inlineStr">
        <is>
          <t>Profit/Loss</t>
        </is>
      </c>
      <c r="E1076" s="2" t="inlineStr">
        <is>
          <t>Formula Guide</t>
        </is>
      </c>
      <c r="F1076" s="2" t="inlineStr">
        <is>
          <t>Reference</t>
        </is>
      </c>
      <c r="G1076" s="3" t="inlineStr">
        <is>
          <t>profit and loss formulas summary</t>
        </is>
      </c>
      <c r="H1076" s="3" t="inlineStr">
        <is>
          <t>all profit loss formulas cheat sheet, cost price selling price reference, profit margin math summary</t>
        </is>
      </c>
      <c r="I1076" s="3" t="inlineStr">
        <is>
          <t>Profit and Loss Calculator</t>
        </is>
      </c>
      <c r="J1076" s="3" t="inlineStr">
        <is>
          <t>/calculators/profit-loss</t>
        </is>
      </c>
      <c r="K1076" s="3" t="inlineStr">
        <is>
          <t>Consolidated reference sheet detailing formulas for Profit, Loss, Profit %, Loss %, Margin-to-Markup conversion, and Break-Even equations.</t>
        </is>
      </c>
      <c r="L1076" s="2" t="inlineStr">
        <is>
          <t>YES</t>
        </is>
      </c>
      <c r="M1076" s="2" t="inlineStr">
        <is>
          <t>HIGH</t>
        </is>
      </c>
      <c r="N1076" s="2" t="inlineStr">
        <is>
          <t>READY</t>
        </is>
      </c>
      <c r="O1076" s="3" t="inlineStr"/>
      <c r="P1076" s="3" t="inlineStr"/>
      <c r="Q1076" s="3" t="inlineStr"/>
      <c r="R1076" s="3" t="inlineStr"/>
    </row>
    <row r="1077" ht="20" customHeight="1">
      <c r="A1077" s="4" t="inlineStr">
        <is>
          <t>ST1076</t>
        </is>
      </c>
      <c r="B1077" s="5" t="inlineStr">
        <is>
          <t>How to Simplify Ratios to Lowest Terms: The Greatest Common Divisor (GCD) Method</t>
        </is>
      </c>
      <c r="C1077" s="4" t="inlineStr">
        <is>
          <t>General</t>
        </is>
      </c>
      <c r="D1077" s="5" t="inlineStr">
        <is>
          <t>Ratio</t>
        </is>
      </c>
      <c r="E1077" s="4" t="inlineStr">
        <is>
          <t>Formula Guide</t>
        </is>
      </c>
      <c r="F1077" s="4" t="inlineStr">
        <is>
          <t>How-To</t>
        </is>
      </c>
      <c r="G1077" s="5" t="inlineStr">
        <is>
          <t>how to simplify ratios</t>
        </is>
      </c>
      <c r="H1077" s="5" t="inlineStr">
        <is>
          <t>ratio simplifier formula, reducing ratios to lowest terms, gcd ratio reduction, simplify ratio step by step</t>
        </is>
      </c>
      <c r="I1077" s="5" t="inlineStr">
        <is>
          <t>Ratio Calculator</t>
        </is>
      </c>
      <c r="J1077" s="5" t="inlineStr">
        <is>
          <t>/calculators/ratio</t>
        </is>
      </c>
      <c r="K1077" s="5" t="inlineStr">
        <is>
          <t>Explain the division algorithm: find the Greatest Common Divisor (GCD) of both terms and divide both sides. Provide worked examples (e.g. 48:72 -&gt; 2:3).</t>
        </is>
      </c>
      <c r="L1077" s="4" t="inlineStr">
        <is>
          <t>YES</t>
        </is>
      </c>
      <c r="M1077" s="4" t="inlineStr">
        <is>
          <t>HIGH</t>
        </is>
      </c>
      <c r="N1077" s="4" t="inlineStr">
        <is>
          <t>READY</t>
        </is>
      </c>
      <c r="O1077" s="5" t="inlineStr"/>
      <c r="P1077" s="5" t="inlineStr"/>
      <c r="Q1077" s="5" t="inlineStr"/>
      <c r="R1077" s="5" t="inlineStr"/>
    </row>
    <row r="1078" ht="20" customHeight="1">
      <c r="A1078" s="2" t="inlineStr">
        <is>
          <t>ST1077</t>
        </is>
      </c>
      <c r="B1078" s="3" t="inlineStr">
        <is>
          <t>Ratio vs Proportion: Understanding the Core Mathematical Distinction</t>
        </is>
      </c>
      <c r="C1078" s="2" t="inlineStr">
        <is>
          <t>General</t>
        </is>
      </c>
      <c r="D1078" s="3" t="inlineStr">
        <is>
          <t>Ratio</t>
        </is>
      </c>
      <c r="E1078" s="2" t="inlineStr">
        <is>
          <t>Comparison</t>
        </is>
      </c>
      <c r="F1078" s="2" t="inlineStr">
        <is>
          <t>Educational</t>
        </is>
      </c>
      <c r="G1078" s="3" t="inlineStr">
        <is>
          <t>difference between ratio and proportion</t>
        </is>
      </c>
      <c r="H1078" s="3" t="inlineStr">
        <is>
          <t>what is ratio and proportion, cross multiplication proportion, extreme and mean terms proportion</t>
        </is>
      </c>
      <c r="I1078" s="3" t="inlineStr">
        <is>
          <t>Ratio Calculator</t>
        </is>
      </c>
      <c r="J1078" s="3" t="inlineStr">
        <is>
          <t>/calculators/ratio</t>
        </is>
      </c>
      <c r="K1078" s="3" t="inlineStr">
        <is>
          <t>Clarify the distinction: a ratio compares two quantities (a:b), while a proportion states that two ratios are equal (a:b = c:d), introducing Product of Extremes = Product of Means.</t>
        </is>
      </c>
      <c r="L1078" s="2" t="inlineStr">
        <is>
          <t>YES</t>
        </is>
      </c>
      <c r="M1078" s="2" t="inlineStr">
        <is>
          <t>HIGH</t>
        </is>
      </c>
      <c r="N1078" s="2" t="inlineStr">
        <is>
          <t>READY</t>
        </is>
      </c>
      <c r="O1078" s="3" t="inlineStr"/>
      <c r="P1078" s="3" t="inlineStr"/>
      <c r="Q1078" s="3" t="inlineStr"/>
      <c r="R1078" s="3" t="inlineStr"/>
    </row>
    <row r="1079" ht="20" customHeight="1">
      <c r="A1079" s="4" t="inlineStr">
        <is>
          <t>ST1078</t>
        </is>
      </c>
      <c r="B1079" s="5" t="inlineStr">
        <is>
          <t>How to Divide an Amount in a Given Ratio: Step-by-Step Practical Guide</t>
        </is>
      </c>
      <c r="C1079" s="4" t="inlineStr">
        <is>
          <t>General</t>
        </is>
      </c>
      <c r="D1079" s="5" t="inlineStr">
        <is>
          <t>Ratio</t>
        </is>
      </c>
      <c r="E1079" s="4" t="inlineStr">
        <is>
          <t>Formula Guide</t>
        </is>
      </c>
      <c r="F1079" s="4" t="inlineStr">
        <is>
          <t>How-To</t>
        </is>
      </c>
      <c r="G1079" s="5" t="inlineStr">
        <is>
          <t>how to divide money in a ratio</t>
        </is>
      </c>
      <c r="H1079" s="5" t="inlineStr">
        <is>
          <t>sharing amount in ratio formula, dividing quantity in given ratio, ratio division step by step</t>
        </is>
      </c>
      <c r="I1079" s="5" t="inlineStr">
        <is>
          <t>Ratio Calculator</t>
        </is>
      </c>
      <c r="J1079" s="5" t="inlineStr">
        <is>
          <t>/calculators/ratio</t>
        </is>
      </c>
      <c r="K1079" s="5" t="inlineStr">
        <is>
          <t>Formula: Share = Total Amount * (Part / Sum of Parts). Walk through dividing Rs 50,000 in the ratio 3:2:5 among business partners.</t>
        </is>
      </c>
      <c r="L1079" s="4" t="inlineStr">
        <is>
          <t>YES</t>
        </is>
      </c>
      <c r="M1079" s="4" t="inlineStr">
        <is>
          <t>HIGH</t>
        </is>
      </c>
      <c r="N1079" s="4" t="inlineStr">
        <is>
          <t>READY</t>
        </is>
      </c>
      <c r="O1079" s="5" t="inlineStr"/>
      <c r="P1079" s="5" t="inlineStr"/>
      <c r="Q1079" s="5" t="inlineStr"/>
      <c r="R1079" s="5" t="inlineStr"/>
    </row>
    <row r="1080" ht="20" customHeight="1">
      <c r="A1080" s="2" t="inlineStr">
        <is>
          <t>ST1079</t>
        </is>
      </c>
      <c r="B1080" s="3" t="inlineStr">
        <is>
          <t>Aspect Ratios in Screens and Video: 16:9, 4:3, 21:9, and 9:16 Dimensions Explained</t>
        </is>
      </c>
      <c r="C1080" s="2" t="inlineStr">
        <is>
          <t>General</t>
        </is>
      </c>
      <c r="D1080" s="3" t="inlineStr">
        <is>
          <t>Ratio</t>
        </is>
      </c>
      <c r="E1080" s="2" t="inlineStr">
        <is>
          <t>Guide</t>
        </is>
      </c>
      <c r="F1080" s="2" t="inlineStr">
        <is>
          <t>Reference</t>
        </is>
      </c>
      <c r="G1080" s="3" t="inlineStr">
        <is>
          <t>aspect ratio 16 9 calculation</t>
        </is>
      </c>
      <c r="H1080" s="3" t="inlineStr">
        <is>
          <t>screen aspect ratio formula, 1920x1080 aspect ratio, convert resolution to aspect ratio</t>
        </is>
      </c>
      <c r="I1080" s="3" t="inlineStr">
        <is>
          <t>Ratio Calculator</t>
        </is>
      </c>
      <c r="J1080" s="3" t="inlineStr">
        <is>
          <t>/calculators/ratio</t>
        </is>
      </c>
      <c r="K1080" s="3" t="inlineStr">
        <is>
          <t>Explain display resolutions: simplify 1920:1080 to 16:9, 3840:2160 (4K), vertical video 9:16 for reels/shorts, and ultrawide 21:9 monitors.</t>
        </is>
      </c>
      <c r="L1080" s="2" t="inlineStr">
        <is>
          <t>YES</t>
        </is>
      </c>
      <c r="M1080" s="2" t="inlineStr">
        <is>
          <t>HIGH</t>
        </is>
      </c>
      <c r="N1080" s="2" t="inlineStr">
        <is>
          <t>READY</t>
        </is>
      </c>
      <c r="O1080" s="3" t="inlineStr"/>
      <c r="P1080" s="3" t="inlineStr"/>
      <c r="Q1080" s="3" t="inlineStr"/>
      <c r="R1080" s="3" t="inlineStr"/>
    </row>
    <row r="1081" ht="20" customHeight="1">
      <c r="A1081" s="4" t="inlineStr">
        <is>
          <t>ST1080</t>
        </is>
      </c>
      <c r="B1081" s="5" t="inlineStr">
        <is>
          <t>How to Find the Missing Value in an Equivalent Ratio (Solving for X)</t>
        </is>
      </c>
      <c r="C1081" s="4" t="inlineStr">
        <is>
          <t>General</t>
        </is>
      </c>
      <c r="D1081" s="5" t="inlineStr">
        <is>
          <t>Ratio</t>
        </is>
      </c>
      <c r="E1081" s="4" t="inlineStr">
        <is>
          <t>Formula Guide</t>
        </is>
      </c>
      <c r="F1081" s="4" t="inlineStr">
        <is>
          <t>How-To</t>
        </is>
      </c>
      <c r="G1081" s="5" t="inlineStr">
        <is>
          <t>how to solve for x in ratio proportion</t>
        </is>
      </c>
      <c r="H1081" s="5" t="inlineStr">
        <is>
          <t>missing value in ratio formula, cross multiplication ratio solver, finding x in proportion</t>
        </is>
      </c>
      <c r="I1081" s="5" t="inlineStr">
        <is>
          <t>Ratio Calculator</t>
        </is>
      </c>
      <c r="J1081" s="5" t="inlineStr">
        <is>
          <t>/calculators/ratio</t>
        </is>
      </c>
      <c r="K1081" s="5" t="inlineStr">
        <is>
          <t>Solve a/b = c/x -&gt; x = (b * c) / a. Work through concrete recipe scaling, construction mortar mix, and map scale problems.</t>
        </is>
      </c>
      <c r="L1081" s="4" t="inlineStr">
        <is>
          <t>YES</t>
        </is>
      </c>
      <c r="M1081" s="4" t="inlineStr">
        <is>
          <t>HIGH</t>
        </is>
      </c>
      <c r="N1081" s="4" t="inlineStr">
        <is>
          <t>READY</t>
        </is>
      </c>
      <c r="O1081" s="5" t="inlineStr"/>
      <c r="P1081" s="5" t="inlineStr"/>
      <c r="Q1081" s="5" t="inlineStr"/>
      <c r="R1081" s="5" t="inlineStr"/>
    </row>
    <row r="1082" ht="20" customHeight="1">
      <c r="A1082" s="2" t="inlineStr">
        <is>
          <t>ST1081</t>
        </is>
      </c>
      <c r="B1082" s="3" t="inlineStr">
        <is>
          <t>Direct Proportion vs Inverse (Indirect) Proportion: Formulas and Real-World Scenarios</t>
        </is>
      </c>
      <c r="C1082" s="2" t="inlineStr">
        <is>
          <t>General</t>
        </is>
      </c>
      <c r="D1082" s="3" t="inlineStr">
        <is>
          <t>Ratio</t>
        </is>
      </c>
      <c r="E1082" s="2" t="inlineStr">
        <is>
          <t>Comparison</t>
        </is>
      </c>
      <c r="F1082" s="2" t="inlineStr">
        <is>
          <t>Educational</t>
        </is>
      </c>
      <c r="G1082" s="3" t="inlineStr">
        <is>
          <t>direct vs inverse proportion</t>
        </is>
      </c>
      <c r="H1082" s="3" t="inlineStr">
        <is>
          <t>indirect proportion formula, speed and time inverse proportion, direct variation examples</t>
        </is>
      </c>
      <c r="I1082" s="3" t="inlineStr">
        <is>
          <t>Ratio Calculator</t>
        </is>
      </c>
      <c r="J1082" s="3" t="inlineStr">
        <is>
          <t>/calculators/ratio</t>
        </is>
      </c>
      <c r="K1082" s="3" t="inlineStr">
        <is>
          <t>Compare Direct Proportion (y = kx: more workers produce more goods) with Inverse Proportion (xy = k: higher speed takes less travel time).</t>
        </is>
      </c>
      <c r="L1082" s="2" t="inlineStr">
        <is>
          <t>YES</t>
        </is>
      </c>
      <c r="M1082" s="2" t="inlineStr">
        <is>
          <t>HIGH</t>
        </is>
      </c>
      <c r="N1082" s="2" t="inlineStr">
        <is>
          <t>READY</t>
        </is>
      </c>
      <c r="O1082" s="3" t="inlineStr"/>
      <c r="P1082" s="3" t="inlineStr"/>
      <c r="Q1082" s="3" t="inlineStr"/>
      <c r="R1082" s="3" t="inlineStr"/>
    </row>
    <row r="1083" ht="20" customHeight="1">
      <c r="A1083" s="4" t="inlineStr">
        <is>
          <t>ST1082</t>
        </is>
      </c>
      <c r="B1083" s="5" t="inlineStr">
        <is>
          <t>Gear Ratios and Mechanical Advantage: How Bicycle and Car Gears Work</t>
        </is>
      </c>
      <c r="C1083" s="4" t="inlineStr">
        <is>
          <t>General</t>
        </is>
      </c>
      <c r="D1083" s="5" t="inlineStr">
        <is>
          <t>Ratio</t>
        </is>
      </c>
      <c r="E1083" s="4" t="inlineStr">
        <is>
          <t>Explanation</t>
        </is>
      </c>
      <c r="F1083" s="4" t="inlineStr">
        <is>
          <t>Educational</t>
        </is>
      </c>
      <c r="G1083" s="5" t="inlineStr">
        <is>
          <t>gear ratio calculation formula</t>
        </is>
      </c>
      <c r="H1083" s="5" t="inlineStr">
        <is>
          <t>how gear ratio is calculated, teeth count gear ratio, mechanical advantage ratio</t>
        </is>
      </c>
      <c r="I1083" s="5" t="inlineStr">
        <is>
          <t>Ratio Calculator</t>
        </is>
      </c>
      <c r="J1083" s="5" t="inlineStr">
        <is>
          <t>/calculators/ratio</t>
        </is>
      </c>
      <c r="K1083" s="5" t="inlineStr">
        <is>
          <t>Formula: Gear Ratio = Driven Teeth / Driver Teeth. Explain high gear ratio (speed) vs low gear ratio (torque for hill climbing).</t>
        </is>
      </c>
      <c r="L1083" s="4" t="inlineStr">
        <is>
          <t>YES</t>
        </is>
      </c>
      <c r="M1083" s="4" t="inlineStr">
        <is>
          <t>MEDIUM</t>
        </is>
      </c>
      <c r="N1083" s="4" t="inlineStr">
        <is>
          <t>READY</t>
        </is>
      </c>
      <c r="O1083" s="5" t="inlineStr"/>
      <c r="P1083" s="5" t="inlineStr"/>
      <c r="Q1083" s="5" t="inlineStr"/>
      <c r="R1083" s="5" t="inlineStr"/>
    </row>
    <row r="1084" ht="20" customHeight="1">
      <c r="A1084" s="2" t="inlineStr">
        <is>
          <t>ST1083</t>
        </is>
      </c>
      <c r="B1084" s="3" t="inlineStr">
        <is>
          <t>Scale Factor in Architecture and Maps: How to Convert 1:100 Scale to Real Dimensions</t>
        </is>
      </c>
      <c r="C1084" s="2" t="inlineStr">
        <is>
          <t>General</t>
        </is>
      </c>
      <c r="D1084" s="3" t="inlineStr">
        <is>
          <t>Ratio</t>
        </is>
      </c>
      <c r="E1084" s="2" t="inlineStr">
        <is>
          <t>Guide</t>
        </is>
      </c>
      <c r="F1084" s="2" t="inlineStr">
        <is>
          <t>How-To</t>
        </is>
      </c>
      <c r="G1084" s="3" t="inlineStr">
        <is>
          <t>scale ratio conversion on architectural blueprints</t>
        </is>
      </c>
      <c r="H1084" s="3" t="inlineStr">
        <is>
          <t>1 to 100 scale meaning, map scale ratio formula, calculating real distance from map scale</t>
        </is>
      </c>
      <c r="I1084" s="3" t="inlineStr">
        <is>
          <t>Ratio Calculator</t>
        </is>
      </c>
      <c r="J1084" s="3" t="inlineStr">
        <is>
          <t>/calculators/ratio</t>
        </is>
      </c>
      <c r="K1084" s="3" t="inlineStr">
        <is>
          <t>Demonstrate multiplying blueprint measurements by the scale factor: 5 cm on a 1:100 drawing represents 500 cm (5 meters) in physical reality.</t>
        </is>
      </c>
      <c r="L1084" s="2" t="inlineStr">
        <is>
          <t>YES</t>
        </is>
      </c>
      <c r="M1084" s="2" t="inlineStr">
        <is>
          <t>HIGH</t>
        </is>
      </c>
      <c r="N1084" s="2" t="inlineStr">
        <is>
          <t>READY</t>
        </is>
      </c>
      <c r="O1084" s="3" t="inlineStr"/>
      <c r="P1084" s="3" t="inlineStr"/>
      <c r="Q1084" s="3" t="inlineStr"/>
      <c r="R1084" s="3" t="inlineStr"/>
    </row>
    <row r="1085" ht="20" customHeight="1">
      <c r="A1085" s="4" t="inlineStr">
        <is>
          <t>ST1084</t>
        </is>
      </c>
      <c r="B1085" s="5" t="inlineStr">
        <is>
          <t>How to Scale Cooking Recipes Up or Down Using Ingredient Ratios</t>
        </is>
      </c>
      <c r="C1085" s="4" t="inlineStr">
        <is>
          <t>General</t>
        </is>
      </c>
      <c r="D1085" s="5" t="inlineStr">
        <is>
          <t>Ratio</t>
        </is>
      </c>
      <c r="E1085" s="4" t="inlineStr">
        <is>
          <t>How-To</t>
        </is>
      </c>
      <c r="F1085" s="4" t="inlineStr">
        <is>
          <t>How-To</t>
        </is>
      </c>
      <c r="G1085" s="5" t="inlineStr">
        <is>
          <t>how to scale recipe ingredients using ratios</t>
        </is>
      </c>
      <c r="H1085" s="5" t="inlineStr">
        <is>
          <t>recipe scaling factor formula, doubling recipe proportions, cooking ratio conversion</t>
        </is>
      </c>
      <c r="I1085" s="5" t="inlineStr">
        <is>
          <t>Ratio Calculator</t>
        </is>
      </c>
      <c r="J1085" s="5" t="inlineStr">
        <is>
          <t>/calculators/ratio</t>
        </is>
      </c>
      <c r="K1085" s="5" t="inlineStr">
        <is>
          <t>Formula: Scale Factor = Desired Servings / Original Servings. Multiply all ingredients proportionally to maintain exact flavor and baking consistency.</t>
        </is>
      </c>
      <c r="L1085" s="4" t="inlineStr">
        <is>
          <t>YES</t>
        </is>
      </c>
      <c r="M1085" s="4" t="inlineStr">
        <is>
          <t>HIGH</t>
        </is>
      </c>
      <c r="N1085" s="4" t="inlineStr">
        <is>
          <t>READY</t>
        </is>
      </c>
      <c r="O1085" s="5" t="inlineStr"/>
      <c r="P1085" s="5" t="inlineStr"/>
      <c r="Q1085" s="5" t="inlineStr"/>
      <c r="R1085" s="5" t="inlineStr"/>
    </row>
    <row r="1086" ht="20" customHeight="1">
      <c r="A1086" s="2" t="inlineStr">
        <is>
          <t>ST1085</t>
        </is>
      </c>
      <c r="B1086" s="3" t="inlineStr">
        <is>
          <t>The Golden Ratio (1:1.618): Mathematical Definition and Occurrences in Art and Nature</t>
        </is>
      </c>
      <c r="C1086" s="2" t="inlineStr">
        <is>
          <t>General</t>
        </is>
      </c>
      <c r="D1086" s="3" t="inlineStr">
        <is>
          <t>Ratio</t>
        </is>
      </c>
      <c r="E1086" s="2" t="inlineStr">
        <is>
          <t>Explanation</t>
        </is>
      </c>
      <c r="F1086" s="2" t="inlineStr">
        <is>
          <t>Educational</t>
        </is>
      </c>
      <c r="G1086" s="3" t="inlineStr">
        <is>
          <t>what is golden ratio phi</t>
        </is>
      </c>
      <c r="H1086" s="3" t="inlineStr">
        <is>
          <t>golden ratio formula 1.618, fibonacci sequence golden ratio, golden rectangle art design</t>
        </is>
      </c>
      <c r="I1086" s="3" t="inlineStr">
        <is>
          <t>Ratio Calculator</t>
        </is>
      </c>
      <c r="J1086" s="3" t="inlineStr">
        <is>
          <t>/calculators/ratio</t>
        </is>
      </c>
      <c r="K1086" s="3" t="inlineStr">
        <is>
          <t>Derive Phi: $\phi = (1 + \sqrt{5}) / 2 pprox 1.618033$. Explore its emergence in Fibonacci limits, spiral shells, architecture, and UI layout proportions.</t>
        </is>
      </c>
      <c r="L1086" s="2" t="inlineStr">
        <is>
          <t>YES</t>
        </is>
      </c>
      <c r="M1086" s="2" t="inlineStr">
        <is>
          <t>MEDIUM</t>
        </is>
      </c>
      <c r="N1086" s="2" t="inlineStr">
        <is>
          <t>READY</t>
        </is>
      </c>
      <c r="O1086" s="3" t="inlineStr"/>
      <c r="P1086" s="3" t="inlineStr"/>
      <c r="Q1086" s="3" t="inlineStr"/>
      <c r="R1086" s="3" t="inlineStr"/>
    </row>
    <row r="1087" ht="20" customHeight="1">
      <c r="A1087" s="4" t="inlineStr">
        <is>
          <t>ST1086</t>
        </is>
      </c>
      <c r="B1087" s="5" t="inlineStr">
        <is>
          <t>How to Combine Two Separate Ratios: Merging a:b and b:c into a:b:c</t>
        </is>
      </c>
      <c r="C1087" s="4" t="inlineStr">
        <is>
          <t>General</t>
        </is>
      </c>
      <c r="D1087" s="5" t="inlineStr">
        <is>
          <t>Ratio</t>
        </is>
      </c>
      <c r="E1087" s="4" t="inlineStr">
        <is>
          <t>Formula Guide</t>
        </is>
      </c>
      <c r="F1087" s="4" t="inlineStr">
        <is>
          <t>How-To</t>
        </is>
      </c>
      <c r="G1087" s="5" t="inlineStr">
        <is>
          <t>how to combine two ratios a b and b c</t>
        </is>
      </c>
      <c r="H1087" s="5" t="inlineStr">
        <is>
          <t>merging ratios formula, compound ratio calculation, 3 term ratio combining</t>
        </is>
      </c>
      <c r="I1087" s="5" t="inlineStr">
        <is>
          <t>Ratio Calculator</t>
        </is>
      </c>
      <c r="J1087" s="5" t="inlineStr">
        <is>
          <t>/calculators/ratio</t>
        </is>
      </c>
      <c r="K1087" s="5" t="inlineStr">
        <is>
          <t>Find the Least Common Multiple (LCM) of the common term 'b' and scale both ratios accordingly to construct a unified 3-part ratio.</t>
        </is>
      </c>
      <c r="L1087" s="4" t="inlineStr">
        <is>
          <t>YES</t>
        </is>
      </c>
      <c r="M1087" s="4" t="inlineStr">
        <is>
          <t>HIGH</t>
        </is>
      </c>
      <c r="N1087" s="4" t="inlineStr">
        <is>
          <t>READY</t>
        </is>
      </c>
      <c r="O1087" s="5" t="inlineStr"/>
      <c r="P1087" s="5" t="inlineStr"/>
      <c r="Q1087" s="5" t="inlineStr"/>
      <c r="R1087" s="5" t="inlineStr"/>
    </row>
    <row r="1088" ht="20" customHeight="1">
      <c r="A1088" s="2" t="inlineStr">
        <is>
          <t>ST1087</t>
        </is>
      </c>
      <c r="B1088" s="3" t="inlineStr">
        <is>
          <t>Dilution Ratios in Chemistry and Cleaning Solutions: 1:10 vs 1 to 10 Explained</t>
        </is>
      </c>
      <c r="C1088" s="2" t="inlineStr">
        <is>
          <t>General</t>
        </is>
      </c>
      <c r="D1088" s="3" t="inlineStr">
        <is>
          <t>Ratio</t>
        </is>
      </c>
      <c r="E1088" s="2" t="inlineStr">
        <is>
          <t>Guide</t>
        </is>
      </c>
      <c r="F1088" s="2" t="inlineStr">
        <is>
          <t>How-To</t>
        </is>
      </c>
      <c r="G1088" s="3" t="inlineStr">
        <is>
          <t>how to calculate dilution ratio 1 to 10</t>
        </is>
      </c>
      <c r="H1088" s="3" t="inlineStr">
        <is>
          <t>parts ratio dilution calculation, concentrated chemical dilution formula, chemical mixing ratio</t>
        </is>
      </c>
      <c r="I1088" s="3" t="inlineStr">
        <is>
          <t>Ratio Calculator</t>
        </is>
      </c>
      <c r="J1088" s="3" t="inlineStr">
        <is>
          <t>/calculators/ratio</t>
        </is>
      </c>
      <c r="K1088" s="3" t="inlineStr">
        <is>
          <t>Clarify terminology: 1:10 dilution in chemistry means 1 part solute in 9 parts solvent (10 total parts) vs 1 part solute added to 10 parts solvent (11 parts).</t>
        </is>
      </c>
      <c r="L1088" s="2" t="inlineStr">
        <is>
          <t>YES</t>
        </is>
      </c>
      <c r="M1088" s="2" t="inlineStr">
        <is>
          <t>MEDIUM</t>
        </is>
      </c>
      <c r="N1088" s="2" t="inlineStr">
        <is>
          <t>READY</t>
        </is>
      </c>
      <c r="O1088" s="3" t="inlineStr"/>
      <c r="P1088" s="3" t="inlineStr"/>
      <c r="Q1088" s="3" t="inlineStr"/>
      <c r="R1088" s="3" t="inlineStr"/>
    </row>
    <row r="1089" ht="20" customHeight="1">
      <c r="A1089" s="4" t="inlineStr">
        <is>
          <t>ST1088</t>
        </is>
      </c>
      <c r="B1089" s="5" t="inlineStr">
        <is>
          <t>Debt-to-Income (DTI) and Debt-to-Equity Ratios: How Financial Health Is Measured</t>
        </is>
      </c>
      <c r="C1089" s="4" t="inlineStr">
        <is>
          <t>General</t>
        </is>
      </c>
      <c r="D1089" s="5" t="inlineStr">
        <is>
          <t>Ratio</t>
        </is>
      </c>
      <c r="E1089" s="4" t="inlineStr">
        <is>
          <t>Guide</t>
        </is>
      </c>
      <c r="F1089" s="4" t="inlineStr">
        <is>
          <t>Reference</t>
        </is>
      </c>
      <c r="G1089" s="5" t="inlineStr">
        <is>
          <t>financial ratios debt to equity and dti</t>
        </is>
      </c>
      <c r="H1089" s="5" t="inlineStr">
        <is>
          <t>debt to income ratio calculation, corporate debt to equity ratio formula, solvency ratios</t>
        </is>
      </c>
      <c r="I1089" s="5" t="inlineStr">
        <is>
          <t>Ratio Calculator</t>
        </is>
      </c>
      <c r="J1089" s="5" t="inlineStr">
        <is>
          <t>/calculators/ratio</t>
        </is>
      </c>
      <c r="K1089" s="5" t="inlineStr">
        <is>
          <t>Explain corporate and personal solvency ratios: total liabilities compared against income or shareholder equity to evaluate credit risk.</t>
        </is>
      </c>
      <c r="L1089" s="4" t="inlineStr">
        <is>
          <t>YES</t>
        </is>
      </c>
      <c r="M1089" s="4" t="inlineStr">
        <is>
          <t>HIGH</t>
        </is>
      </c>
      <c r="N1089" s="4" t="inlineStr">
        <is>
          <t>READY</t>
        </is>
      </c>
      <c r="O1089" s="5" t="inlineStr"/>
      <c r="P1089" s="5" t="inlineStr"/>
      <c r="Q1089" s="5" t="inlineStr"/>
      <c r="R1089" s="5" t="inlineStr"/>
    </row>
    <row r="1090" ht="20" customHeight="1">
      <c r="A1090" s="2" t="inlineStr">
        <is>
          <t>ST1089</t>
        </is>
      </c>
      <c r="B1090" s="3" t="inlineStr">
        <is>
          <t>Compressing Ratios: How to Convert Any Ratio (e.g. 17:43) to 1:N or N:1 Format</t>
        </is>
      </c>
      <c r="C1090" s="2" t="inlineStr">
        <is>
          <t>General</t>
        </is>
      </c>
      <c r="D1090" s="3" t="inlineStr">
        <is>
          <t>Ratio</t>
        </is>
      </c>
      <c r="E1090" s="2" t="inlineStr">
        <is>
          <t>Formula Guide</t>
        </is>
      </c>
      <c r="F1090" s="2" t="inlineStr">
        <is>
          <t>How-To</t>
        </is>
      </c>
      <c r="G1090" s="3" t="inlineStr">
        <is>
          <t>how to convert ratio to 1 to n format</t>
        </is>
      </c>
      <c r="H1090" s="3" t="inlineStr">
        <is>
          <t>unit ratio calculation, normalizing ratio to 1, comparing unequal ratios</t>
        </is>
      </c>
      <c r="I1090" s="3" t="inlineStr">
        <is>
          <t>Ratio Calculator</t>
        </is>
      </c>
      <c r="J1090" s="3" t="inlineStr">
        <is>
          <t>/calculators/ratio</t>
        </is>
      </c>
      <c r="K1090" s="3" t="inlineStr">
        <is>
          <t>Divide both terms by the first term (1 : b/a) or by the second term (a/b : 1) to enable intuitive comparisons between disparate data sets.</t>
        </is>
      </c>
      <c r="L1090" s="2" t="inlineStr">
        <is>
          <t>YES</t>
        </is>
      </c>
      <c r="M1090" s="2" t="inlineStr">
        <is>
          <t>HIGH</t>
        </is>
      </c>
      <c r="N1090" s="2" t="inlineStr">
        <is>
          <t>READY</t>
        </is>
      </c>
      <c r="O1090" s="3" t="inlineStr"/>
      <c r="P1090" s="3" t="inlineStr"/>
      <c r="Q1090" s="3" t="inlineStr"/>
      <c r="R1090" s="3" t="inlineStr"/>
    </row>
    <row r="1091" ht="20" customHeight="1">
      <c r="A1091" s="4" t="inlineStr">
        <is>
          <t>ST1090</t>
        </is>
      </c>
      <c r="B1091" s="5" t="inlineStr">
        <is>
          <t>Summary Guide: Key Formulas for Ratios, Proportions, Scaling, and Equivalent Reductions</t>
        </is>
      </c>
      <c r="C1091" s="4" t="inlineStr">
        <is>
          <t>General</t>
        </is>
      </c>
      <c r="D1091" s="5" t="inlineStr">
        <is>
          <t>Ratio</t>
        </is>
      </c>
      <c r="E1091" s="4" t="inlineStr">
        <is>
          <t>Formula Guide</t>
        </is>
      </c>
      <c r="F1091" s="4" t="inlineStr">
        <is>
          <t>Reference</t>
        </is>
      </c>
      <c r="G1091" s="5" t="inlineStr">
        <is>
          <t>ratio and proportion formulas summary</t>
        </is>
      </c>
      <c r="H1091" s="5" t="inlineStr">
        <is>
          <t>all ratio formulas cheat sheet, proportion cross multiplication reference, ratio math guide</t>
        </is>
      </c>
      <c r="I1091" s="5" t="inlineStr">
        <is>
          <t>Ratio Calculator</t>
        </is>
      </c>
      <c r="J1091" s="5" t="inlineStr">
        <is>
          <t>/calculators/ratio</t>
        </is>
      </c>
      <c r="K1091" s="5" t="inlineStr">
        <is>
          <t>Consolidated reference sheet detailing GCD simplification, Product of Extremes rule, 3-term ratio merging, and aspect ratio conversion formulas.</t>
        </is>
      </c>
      <c r="L1091" s="4" t="inlineStr">
        <is>
          <t>YES</t>
        </is>
      </c>
      <c r="M1091" s="4" t="inlineStr">
        <is>
          <t>HIGH</t>
        </is>
      </c>
      <c r="N1091" s="4" t="inlineStr">
        <is>
          <t>READY</t>
        </is>
      </c>
      <c r="O1091" s="5" t="inlineStr"/>
      <c r="P1091" s="5" t="inlineStr"/>
      <c r="Q1091" s="5" t="inlineStr"/>
      <c r="R1091" s="5" t="inlineStr"/>
    </row>
    <row r="1092" ht="20" customHeight="1">
      <c r="A1092" s="2" t="inlineStr">
        <is>
          <t>ST1091</t>
        </is>
      </c>
      <c r="B1092" s="3" t="inlineStr">
        <is>
          <t>How to Add Fractions with Unlike Denominators: The Least Common Denominator (LCD) Method</t>
        </is>
      </c>
      <c r="C1092" s="2" t="inlineStr">
        <is>
          <t>General</t>
        </is>
      </c>
      <c r="D1092" s="3" t="inlineStr">
        <is>
          <t>Fraction</t>
        </is>
      </c>
      <c r="E1092" s="2" t="inlineStr">
        <is>
          <t>Formula Guide</t>
        </is>
      </c>
      <c r="F1092" s="2" t="inlineStr">
        <is>
          <t>How-To</t>
        </is>
      </c>
      <c r="G1092" s="3" t="inlineStr">
        <is>
          <t>how to add fractions with unlike denominators</t>
        </is>
      </c>
      <c r="H1092" s="3" t="inlineStr">
        <is>
          <t>adding fractions formula, finding lcd of fractions, addition of fractions step by step</t>
        </is>
      </c>
      <c r="I1092" s="3" t="inlineStr">
        <is>
          <t>Fraction Calculator</t>
        </is>
      </c>
      <c r="J1092" s="3" t="inlineStr">
        <is>
          <t>/calculators/fraction</t>
        </is>
      </c>
      <c r="K1092" s="3" t="inlineStr">
        <is>
          <t>Provide the 3-step method: 1) Find the Least Common Multiple (LCM) of denominators, 2) Convert numerators to equivalent fractions, 3) Add numerators and simplify.</t>
        </is>
      </c>
      <c r="L1092" s="2" t="inlineStr">
        <is>
          <t>YES</t>
        </is>
      </c>
      <c r="M1092" s="2" t="inlineStr">
        <is>
          <t>HIGH</t>
        </is>
      </c>
      <c r="N1092" s="2" t="inlineStr">
        <is>
          <t>READY</t>
        </is>
      </c>
      <c r="O1092" s="3" t="inlineStr"/>
      <c r="P1092" s="3" t="inlineStr"/>
      <c r="Q1092" s="3" t="inlineStr"/>
      <c r="R1092" s="3" t="inlineStr"/>
    </row>
    <row r="1093" ht="20" customHeight="1">
      <c r="A1093" s="4" t="inlineStr">
        <is>
          <t>ST1092</t>
        </is>
      </c>
      <c r="B1093" s="5" t="inlineStr">
        <is>
          <t>How to Subtract Fractions with Different Denominators: Complete Worked Examples</t>
        </is>
      </c>
      <c r="C1093" s="4" t="inlineStr">
        <is>
          <t>General</t>
        </is>
      </c>
      <c r="D1093" s="5" t="inlineStr">
        <is>
          <t>Fraction</t>
        </is>
      </c>
      <c r="E1093" s="4" t="inlineStr">
        <is>
          <t>Formula Guide</t>
        </is>
      </c>
      <c r="F1093" s="4" t="inlineStr">
        <is>
          <t>How-To</t>
        </is>
      </c>
      <c r="G1093" s="5" t="inlineStr">
        <is>
          <t>how to subtract fractions with different denominators</t>
        </is>
      </c>
      <c r="H1093" s="5" t="inlineStr">
        <is>
          <t>subtracting fractions formula, fraction subtraction step by step, lcd fraction subtraction</t>
        </is>
      </c>
      <c r="I1093" s="5" t="inlineStr">
        <is>
          <t>Fraction Calculator</t>
        </is>
      </c>
      <c r="J1093" s="5" t="inlineStr">
        <is>
          <t>/calculators/fraction</t>
        </is>
      </c>
      <c r="K1093" s="5" t="inlineStr">
        <is>
          <t>Step-by-step walkthrough of converting to common denominators, subtracting numerators, and reducing to lowest terms with positive and negative fractions.</t>
        </is>
      </c>
      <c r="L1093" s="4" t="inlineStr">
        <is>
          <t>YES</t>
        </is>
      </c>
      <c r="M1093" s="4" t="inlineStr">
        <is>
          <t>HIGH</t>
        </is>
      </c>
      <c r="N1093" s="4" t="inlineStr">
        <is>
          <t>READY</t>
        </is>
      </c>
      <c r="O1093" s="5" t="inlineStr"/>
      <c r="P1093" s="5" t="inlineStr"/>
      <c r="Q1093" s="5" t="inlineStr"/>
      <c r="R1093" s="5" t="inlineStr"/>
    </row>
    <row r="1094" ht="20" customHeight="1">
      <c r="A1094" s="2" t="inlineStr">
        <is>
          <t>ST1093</t>
        </is>
      </c>
      <c r="B1094" s="3" t="inlineStr">
        <is>
          <t>How to Multiply Fractions: Why You Multiply Numerators and Denominators Directly</t>
        </is>
      </c>
      <c r="C1094" s="2" t="inlineStr">
        <is>
          <t>General</t>
        </is>
      </c>
      <c r="D1094" s="3" t="inlineStr">
        <is>
          <t>Fraction</t>
        </is>
      </c>
      <c r="E1094" s="2" t="inlineStr">
        <is>
          <t>Formula Guide</t>
        </is>
      </c>
      <c r="F1094" s="2" t="inlineStr">
        <is>
          <t>How-To</t>
        </is>
      </c>
      <c r="G1094" s="3" t="inlineStr">
        <is>
          <t>how to multiply fractions</t>
        </is>
      </c>
      <c r="H1094" s="3" t="inlineStr">
        <is>
          <t>multiplying fractions formula, cross canceling fractions before multiplying, fraction multiplication rule</t>
        </is>
      </c>
      <c r="I1094" s="3" t="inlineStr">
        <is>
          <t>Fraction Calculator</t>
        </is>
      </c>
      <c r="J1094" s="3" t="inlineStr">
        <is>
          <t>/calculators/fraction</t>
        </is>
      </c>
      <c r="K1094" s="3" t="inlineStr">
        <is>
          <t>Formula: (a/b) * (c/d) = (a*c) / (b*d). Teach cross-simplification (canceling common factors) before multiplying to keep numbers small and manageable.</t>
        </is>
      </c>
      <c r="L1094" s="2" t="inlineStr">
        <is>
          <t>YES</t>
        </is>
      </c>
      <c r="M1094" s="2" t="inlineStr">
        <is>
          <t>HIGH</t>
        </is>
      </c>
      <c r="N1094" s="2" t="inlineStr">
        <is>
          <t>READY</t>
        </is>
      </c>
      <c r="O1094" s="3" t="inlineStr"/>
      <c r="P1094" s="3" t="inlineStr"/>
      <c r="Q1094" s="3" t="inlineStr"/>
      <c r="R1094" s="3" t="inlineStr"/>
    </row>
    <row r="1095" ht="20" customHeight="1">
      <c r="A1095" s="4" t="inlineStr">
        <is>
          <t>ST1094</t>
        </is>
      </c>
      <c r="B1095" s="5" t="inlineStr">
        <is>
          <t>How to Divide Fractions: Why You Invert and Multiply (Keep, Change, Flip)</t>
        </is>
      </c>
      <c r="C1095" s="4" t="inlineStr">
        <is>
          <t>General</t>
        </is>
      </c>
      <c r="D1095" s="5" t="inlineStr">
        <is>
          <t>Fraction</t>
        </is>
      </c>
      <c r="E1095" s="4" t="inlineStr">
        <is>
          <t>Formula Guide</t>
        </is>
      </c>
      <c r="F1095" s="4" t="inlineStr">
        <is>
          <t>How-To</t>
        </is>
      </c>
      <c r="G1095" s="5" t="inlineStr">
        <is>
          <t>how to divide fractions keep change flip</t>
        </is>
      </c>
      <c r="H1095" s="5" t="inlineStr">
        <is>
          <t>dividing fractions formula, reciprocal of a fraction, why invert and multiply works</t>
        </is>
      </c>
      <c r="I1095" s="5" t="inlineStr">
        <is>
          <t>Fraction Calculator</t>
        </is>
      </c>
      <c r="J1095" s="5" t="inlineStr">
        <is>
          <t>/calculators/fraction</t>
        </is>
      </c>
      <c r="K1095" s="5" t="inlineStr">
        <is>
          <t>Explain Keep, Change, Flip: Keep first fraction, Change division to multiplication, Flip second fraction into its reciprocal. Prove algebraically why multiplying by reciprocal divides.</t>
        </is>
      </c>
      <c r="L1095" s="4" t="inlineStr">
        <is>
          <t>YES</t>
        </is>
      </c>
      <c r="M1095" s="4" t="inlineStr">
        <is>
          <t>HIGH</t>
        </is>
      </c>
      <c r="N1095" s="4" t="inlineStr">
        <is>
          <t>READY</t>
        </is>
      </c>
      <c r="O1095" s="5" t="inlineStr"/>
      <c r="P1095" s="5" t="inlineStr"/>
      <c r="Q1095" s="5" t="inlineStr"/>
      <c r="R1095" s="5" t="inlineStr"/>
    </row>
    <row r="1096" ht="20" customHeight="1">
      <c r="A1096" s="2" t="inlineStr">
        <is>
          <t>ST1095</t>
        </is>
      </c>
      <c r="B1096" s="3" t="inlineStr">
        <is>
          <t>Proper vs Improper Fractions vs Mixed Numbers: Definitions and Conversions</t>
        </is>
      </c>
      <c r="C1096" s="2" t="inlineStr">
        <is>
          <t>General</t>
        </is>
      </c>
      <c r="D1096" s="3" t="inlineStr">
        <is>
          <t>Fraction</t>
        </is>
      </c>
      <c r="E1096" s="2" t="inlineStr">
        <is>
          <t>Comparison</t>
        </is>
      </c>
      <c r="F1096" s="2" t="inlineStr">
        <is>
          <t>Educational</t>
        </is>
      </c>
      <c r="G1096" s="3" t="inlineStr">
        <is>
          <t>improper fraction vs mixed number</t>
        </is>
      </c>
      <c r="H1096" s="3" t="inlineStr">
        <is>
          <t>converting improper fraction to mixed number, proper fraction definition, mixed numbers explained</t>
        </is>
      </c>
      <c r="I1096" s="3" t="inlineStr">
        <is>
          <t>Fraction Calculator</t>
        </is>
      </c>
      <c r="J1096" s="3" t="inlineStr">
        <is>
          <t>/calculators/fraction</t>
        </is>
      </c>
      <c r="K1096" s="3" t="inlineStr">
        <is>
          <t>Define terms: Proper (&lt;1), Improper (&gt;1), Mixed (Integer + Proper). Provide two-way conversion algorithms with worked examples.</t>
        </is>
      </c>
      <c r="L1096" s="2" t="inlineStr">
        <is>
          <t>YES</t>
        </is>
      </c>
      <c r="M1096" s="2" t="inlineStr">
        <is>
          <t>HIGH</t>
        </is>
      </c>
      <c r="N1096" s="2" t="inlineStr">
        <is>
          <t>READY</t>
        </is>
      </c>
      <c r="O1096" s="3" t="inlineStr"/>
      <c r="P1096" s="3" t="inlineStr"/>
      <c r="Q1096" s="3" t="inlineStr"/>
      <c r="R1096" s="3" t="inlineStr"/>
    </row>
    <row r="1097" ht="20" customHeight="1">
      <c r="A1097" s="4" t="inlineStr">
        <is>
          <t>ST1096</t>
        </is>
      </c>
      <c r="B1097" s="5" t="inlineStr">
        <is>
          <t>How to Convert Mixed Numbers to Improper Fractions: The Circle Method</t>
        </is>
      </c>
      <c r="C1097" s="4" t="inlineStr">
        <is>
          <t>General</t>
        </is>
      </c>
      <c r="D1097" s="5" t="inlineStr">
        <is>
          <t>Fraction</t>
        </is>
      </c>
      <c r="E1097" s="4" t="inlineStr">
        <is>
          <t>Formula Guide</t>
        </is>
      </c>
      <c r="F1097" s="4" t="inlineStr">
        <is>
          <t>How-To</t>
        </is>
      </c>
      <c r="G1097" s="5" t="inlineStr">
        <is>
          <t>convert mixed number to improper fraction formula</t>
        </is>
      </c>
      <c r="H1097" s="5" t="inlineStr">
        <is>
          <t>mixed fraction to improper fraction, whole number times denominator plus numerator, converting mixed numbers</t>
        </is>
      </c>
      <c r="I1097" s="5" t="inlineStr">
        <is>
          <t>Fraction Calculator</t>
        </is>
      </c>
      <c r="J1097" s="5" t="inlineStr">
        <is>
          <t>/calculators/fraction</t>
        </is>
      </c>
      <c r="K1097" s="5" t="inlineStr">
        <is>
          <t>Formula: Improper Numerator = (Whole Number * Denominator) + Numerator. Denominator stays unchanged. Walk through 3 2/5 -&gt; 17/5.</t>
        </is>
      </c>
      <c r="L1097" s="4" t="inlineStr">
        <is>
          <t>YES</t>
        </is>
      </c>
      <c r="M1097" s="4" t="inlineStr">
        <is>
          <t>HIGH</t>
        </is>
      </c>
      <c r="N1097" s="4" t="inlineStr">
        <is>
          <t>READY</t>
        </is>
      </c>
      <c r="O1097" s="5" t="inlineStr"/>
      <c r="P1097" s="5" t="inlineStr"/>
      <c r="Q1097" s="5" t="inlineStr"/>
      <c r="R1097" s="5" t="inlineStr"/>
    </row>
    <row r="1098" ht="20" customHeight="1">
      <c r="A1098" s="2" t="inlineStr">
        <is>
          <t>ST1097</t>
        </is>
      </c>
      <c r="B1098" s="3" t="inlineStr">
        <is>
          <t>How to Convert Improper Fractions to Mixed Numbers: Division with Remainder</t>
        </is>
      </c>
      <c r="C1098" s="2" t="inlineStr">
        <is>
          <t>General</t>
        </is>
      </c>
      <c r="D1098" s="3" t="inlineStr">
        <is>
          <t>Fraction</t>
        </is>
      </c>
      <c r="E1098" s="2" t="inlineStr">
        <is>
          <t>Formula Guide</t>
        </is>
      </c>
      <c r="F1098" s="2" t="inlineStr">
        <is>
          <t>How-To</t>
        </is>
      </c>
      <c r="G1098" s="3" t="inlineStr">
        <is>
          <t>convert improper fraction to mixed number formula</t>
        </is>
      </c>
      <c r="H1098" s="3" t="inlineStr">
        <is>
          <t>improper to mixed fraction division, quotient and remainder fraction, simplify improper fraction</t>
        </is>
      </c>
      <c r="I1098" s="3" t="inlineStr">
        <is>
          <t>Fraction Calculator</t>
        </is>
      </c>
      <c r="J1098" s="3" t="inlineStr">
        <is>
          <t>/calculators/fraction</t>
        </is>
      </c>
      <c r="K1098" s="3" t="inlineStr">
        <is>
          <t>Formula: Whole Number = Quotient, New Numerator = Remainder, Denominator stays the same. Walk through 23/4 = 5 3/4.</t>
        </is>
      </c>
      <c r="L1098" s="2" t="inlineStr">
        <is>
          <t>YES</t>
        </is>
      </c>
      <c r="M1098" s="2" t="inlineStr">
        <is>
          <t>HIGH</t>
        </is>
      </c>
      <c r="N1098" s="2" t="inlineStr">
        <is>
          <t>READY</t>
        </is>
      </c>
      <c r="O1098" s="3" t="inlineStr"/>
      <c r="P1098" s="3" t="inlineStr"/>
      <c r="Q1098" s="3" t="inlineStr"/>
      <c r="R1098" s="3" t="inlineStr"/>
    </row>
    <row r="1099" ht="20" customHeight="1">
      <c r="A1099" s="4" t="inlineStr">
        <is>
          <t>ST1098</t>
        </is>
      </c>
      <c r="B1099" s="5" t="inlineStr">
        <is>
          <t>How to Simplify Fractions to Lowest Terms: Greatest Common Divisor (GCD)</t>
        </is>
      </c>
      <c r="C1099" s="4" t="inlineStr">
        <is>
          <t>General</t>
        </is>
      </c>
      <c r="D1099" s="5" t="inlineStr">
        <is>
          <t>Fraction</t>
        </is>
      </c>
      <c r="E1099" s="4" t="inlineStr">
        <is>
          <t>Formula Guide</t>
        </is>
      </c>
      <c r="F1099" s="4" t="inlineStr">
        <is>
          <t>How-To</t>
        </is>
      </c>
      <c r="G1099" s="5" t="inlineStr">
        <is>
          <t>how to simplify fractions to lowest terms</t>
        </is>
      </c>
      <c r="H1099" s="5" t="inlineStr">
        <is>
          <t>reducing fractions formula, fraction simplifier step by step, gcd fraction simplification</t>
        </is>
      </c>
      <c r="I1099" s="5" t="inlineStr">
        <is>
          <t>Fraction Calculator</t>
        </is>
      </c>
      <c r="J1099" s="5" t="inlineStr">
        <is>
          <t>/calculators/fraction</t>
        </is>
      </c>
      <c r="K1099" s="5" t="inlineStr">
        <is>
          <t>Explain finding prime factors or Euclidean GCD to divide both numerator and denominator by their greatest common factor.</t>
        </is>
      </c>
      <c r="L1099" s="4" t="inlineStr">
        <is>
          <t>YES</t>
        </is>
      </c>
      <c r="M1099" s="4" t="inlineStr">
        <is>
          <t>HIGH</t>
        </is>
      </c>
      <c r="N1099" s="4" t="inlineStr">
        <is>
          <t>READY</t>
        </is>
      </c>
      <c r="O1099" s="5" t="inlineStr"/>
      <c r="P1099" s="5" t="inlineStr"/>
      <c r="Q1099" s="5" t="inlineStr"/>
      <c r="R1099" s="5" t="inlineStr"/>
    </row>
    <row r="1100" ht="20" customHeight="1">
      <c r="A1100" s="2" t="inlineStr">
        <is>
          <t>ST1099</t>
        </is>
      </c>
      <c r="B1100" s="3" t="inlineStr">
        <is>
          <t>How to Compare Fractions: Cross-Multiplication Butterfly Method vs Common Denominator</t>
        </is>
      </c>
      <c r="C1100" s="2" t="inlineStr">
        <is>
          <t>General</t>
        </is>
      </c>
      <c r="D1100" s="3" t="inlineStr">
        <is>
          <t>Fraction</t>
        </is>
      </c>
      <c r="E1100" s="2" t="inlineStr">
        <is>
          <t>Comparison</t>
        </is>
      </c>
      <c r="F1100" s="2" t="inlineStr">
        <is>
          <t>How-To</t>
        </is>
      </c>
      <c r="G1100" s="3" t="inlineStr">
        <is>
          <t>how to compare fractions which is bigger</t>
        </is>
      </c>
      <c r="H1100" s="3" t="inlineStr">
        <is>
          <t>butterfly method comparing fractions, cross multiplication fraction comparison, order fractions from least to greatest</t>
        </is>
      </c>
      <c r="I1100" s="3" t="inlineStr">
        <is>
          <t>Fraction Calculator</t>
        </is>
      </c>
      <c r="J1100" s="3" t="inlineStr">
        <is>
          <t>/calculators/fraction</t>
        </is>
      </c>
      <c r="K1100" s="3" t="inlineStr">
        <is>
          <t>Teach the Butterfly method: to compare a/b vs c/d, compare cross-products (a*d) vs (b*c). If a*d &gt; b*c, then a/b is greater.</t>
        </is>
      </c>
      <c r="L1100" s="2" t="inlineStr">
        <is>
          <t>YES</t>
        </is>
      </c>
      <c r="M1100" s="2" t="inlineStr">
        <is>
          <t>HIGH</t>
        </is>
      </c>
      <c r="N1100" s="2" t="inlineStr">
        <is>
          <t>READY</t>
        </is>
      </c>
      <c r="O1100" s="3" t="inlineStr"/>
      <c r="P1100" s="3" t="inlineStr"/>
      <c r="Q1100" s="3" t="inlineStr"/>
      <c r="R1100" s="3" t="inlineStr"/>
    </row>
    <row r="1101" ht="20" customHeight="1">
      <c r="A1101" s="4" t="inlineStr">
        <is>
          <t>ST1100</t>
        </is>
      </c>
      <c r="B1101" s="5" t="inlineStr">
        <is>
          <t>How to Convert Fractions to Decimals and Decimals to Fractions</t>
        </is>
      </c>
      <c r="C1101" s="4" t="inlineStr">
        <is>
          <t>General</t>
        </is>
      </c>
      <c r="D1101" s="5" t="inlineStr">
        <is>
          <t>Fraction</t>
        </is>
      </c>
      <c r="E1101" s="4" t="inlineStr">
        <is>
          <t>Formula Guide</t>
        </is>
      </c>
      <c r="F1101" s="4" t="inlineStr">
        <is>
          <t>How-To</t>
        </is>
      </c>
      <c r="G1101" s="5" t="inlineStr">
        <is>
          <t>how to convert fraction to decimal and decimal to fraction</t>
        </is>
      </c>
      <c r="H1101" s="5" t="inlineStr">
        <is>
          <t>fraction to decimal long division, repeating decimals to fractions formula, converting decimals to lowest terms</t>
        </is>
      </c>
      <c r="I1101" s="5" t="inlineStr">
        <is>
          <t>Fraction Calculator</t>
        </is>
      </c>
      <c r="J1101" s="5" t="inlineStr">
        <is>
          <t>/calculators/fraction</t>
        </is>
      </c>
      <c r="K1101" s="5" t="inlineStr">
        <is>
          <t>Explain long division for terminating decimals, and algebraic substitution for recurring repeating decimals (e.g. 0.333... = 1/3).</t>
        </is>
      </c>
      <c r="L1101" s="4" t="inlineStr">
        <is>
          <t>YES</t>
        </is>
      </c>
      <c r="M1101" s="4" t="inlineStr">
        <is>
          <t>HIGH</t>
        </is>
      </c>
      <c r="N1101" s="4" t="inlineStr">
        <is>
          <t>READY</t>
        </is>
      </c>
      <c r="O1101" s="5" t="inlineStr"/>
      <c r="P1101" s="5" t="inlineStr"/>
      <c r="Q1101" s="5" t="inlineStr"/>
      <c r="R1101" s="5" t="inlineStr"/>
    </row>
    <row r="1102" ht="20" customHeight="1">
      <c r="A1102" s="2" t="inlineStr">
        <is>
          <t>ST1101</t>
        </is>
      </c>
      <c r="B1102" s="3" t="inlineStr">
        <is>
          <t>How to Add and Subtract Mixed Numbers with Regrouping (Borrowing)</t>
        </is>
      </c>
      <c r="C1102" s="2" t="inlineStr">
        <is>
          <t>General</t>
        </is>
      </c>
      <c r="D1102" s="3" t="inlineStr">
        <is>
          <t>Fraction</t>
        </is>
      </c>
      <c r="E1102" s="2" t="inlineStr">
        <is>
          <t>Formula Guide</t>
        </is>
      </c>
      <c r="F1102" s="2" t="inlineStr">
        <is>
          <t>How-To</t>
        </is>
      </c>
      <c r="G1102" s="3" t="inlineStr">
        <is>
          <t>adding and subtracting mixed numbers with borrowing</t>
        </is>
      </c>
      <c r="H1102" s="3" t="inlineStr">
        <is>
          <t>mixed fraction addition subtraction, regrouping whole numbers in fractions, borrowing from whole number fraction</t>
        </is>
      </c>
      <c r="I1102" s="3" t="inlineStr">
        <is>
          <t>Fraction Calculator</t>
        </is>
      </c>
      <c r="J1102" s="3" t="inlineStr">
        <is>
          <t>/calculators/fraction</t>
        </is>
      </c>
      <c r="K1102" s="3" t="inlineStr">
        <is>
          <t>Explain borrowing: when subtracting 5 1/4 - 2 3/4, borrow 1 from 5 to convert into 4 5/4, then subtract easily.</t>
        </is>
      </c>
      <c r="L1102" s="2" t="inlineStr">
        <is>
          <t>YES</t>
        </is>
      </c>
      <c r="M1102" s="2" t="inlineStr">
        <is>
          <t>HIGH</t>
        </is>
      </c>
      <c r="N1102" s="2" t="inlineStr">
        <is>
          <t>READY</t>
        </is>
      </c>
      <c r="O1102" s="3" t="inlineStr"/>
      <c r="P1102" s="3" t="inlineStr"/>
      <c r="Q1102" s="3" t="inlineStr"/>
      <c r="R1102" s="3" t="inlineStr"/>
    </row>
    <row r="1103" ht="20" customHeight="1">
      <c r="A1103" s="4" t="inlineStr">
        <is>
          <t>ST1102</t>
        </is>
      </c>
      <c r="B1103" s="5" t="inlineStr">
        <is>
          <t>Multiplying and Dividing Mixed Numbers: Why Converting to Improper Fractions Is Mandatory</t>
        </is>
      </c>
      <c r="C1103" s="4" t="inlineStr">
        <is>
          <t>General</t>
        </is>
      </c>
      <c r="D1103" s="5" t="inlineStr">
        <is>
          <t>Fraction</t>
        </is>
      </c>
      <c r="E1103" s="4" t="inlineStr">
        <is>
          <t>Guide</t>
        </is>
      </c>
      <c r="F1103" s="4" t="inlineStr">
        <is>
          <t>How-To</t>
        </is>
      </c>
      <c r="G1103" s="5" t="inlineStr">
        <is>
          <t>how to multiply and divide mixed numbers</t>
        </is>
      </c>
      <c r="H1103" s="5" t="inlineStr">
        <is>
          <t>multiplying mixed fractions step by step, why you must convert mixed numbers before dividing, mixed numbers operations</t>
        </is>
      </c>
      <c r="I1103" s="5" t="inlineStr">
        <is>
          <t>Fraction Calculator</t>
        </is>
      </c>
      <c r="J1103" s="5" t="inlineStr">
        <is>
          <t>/calculators/fraction</t>
        </is>
      </c>
      <c r="K1103" s="5" t="inlineStr">
        <is>
          <t>Warn against the classic error of multiplying whole numbers and fractions separately; show why converting to improper fractions is mathematically necessary.</t>
        </is>
      </c>
      <c r="L1103" s="4" t="inlineStr">
        <is>
          <t>YES</t>
        </is>
      </c>
      <c r="M1103" s="4" t="inlineStr">
        <is>
          <t>HIGH</t>
        </is>
      </c>
      <c r="N1103" s="4" t="inlineStr">
        <is>
          <t>READY</t>
        </is>
      </c>
      <c r="O1103" s="5" t="inlineStr"/>
      <c r="P1103" s="5" t="inlineStr"/>
      <c r="Q1103" s="5" t="inlineStr"/>
      <c r="R1103" s="5" t="inlineStr"/>
    </row>
    <row r="1104" ht="20" customHeight="1">
      <c r="A1104" s="2" t="inlineStr">
        <is>
          <t>ST1103</t>
        </is>
      </c>
      <c r="B1104" s="3" t="inlineStr">
        <is>
          <t>Unit Fractions: Egyptian Fractions and Decomposing Rational Numbers</t>
        </is>
      </c>
      <c r="C1104" s="2" t="inlineStr">
        <is>
          <t>General</t>
        </is>
      </c>
      <c r="D1104" s="3" t="inlineStr">
        <is>
          <t>Fraction</t>
        </is>
      </c>
      <c r="E1104" s="2" t="inlineStr">
        <is>
          <t>Explanation</t>
        </is>
      </c>
      <c r="F1104" s="2" t="inlineStr">
        <is>
          <t>Educational</t>
        </is>
      </c>
      <c r="G1104" s="3" t="inlineStr">
        <is>
          <t>what are unit fractions and egyptian fractions</t>
        </is>
      </c>
      <c r="H1104" s="3" t="inlineStr">
        <is>
          <t>egyptian fraction decomposition greedy algorithm, 1 over n fractions, unit fractions in math history</t>
        </is>
      </c>
      <c r="I1104" s="3" t="inlineStr">
        <is>
          <t>Fraction Calculator</t>
        </is>
      </c>
      <c r="J1104" s="3" t="inlineStr">
        <is>
          <t>/calculators/fraction</t>
        </is>
      </c>
      <c r="K1104" s="3" t="inlineStr">
        <is>
          <t>Explain unit fractions (numerator 1) and how ancient Egyptians represented all rational fractions as sums of distinct unit fractions using greedy algorithms.</t>
        </is>
      </c>
      <c r="L1104" s="2" t="inlineStr">
        <is>
          <t>YES</t>
        </is>
      </c>
      <c r="M1104" s="2" t="inlineStr">
        <is>
          <t>LOW</t>
        </is>
      </c>
      <c r="N1104" s="2" t="inlineStr">
        <is>
          <t>READY</t>
        </is>
      </c>
      <c r="O1104" s="3" t="inlineStr"/>
      <c r="P1104" s="3" t="inlineStr"/>
      <c r="Q1104" s="3" t="inlineStr"/>
      <c r="R1104" s="3" t="inlineStr"/>
    </row>
    <row r="1105" ht="20" customHeight="1">
      <c r="A1105" s="4" t="inlineStr">
        <is>
          <t>ST1104</t>
        </is>
      </c>
      <c r="B1105" s="5" t="inlineStr">
        <is>
          <t>Continuous Fractions (Continued Fractions): How Irrational Numbers Are Approximated</t>
        </is>
      </c>
      <c r="C1105" s="4" t="inlineStr">
        <is>
          <t>General</t>
        </is>
      </c>
      <c r="D1105" s="5" t="inlineStr">
        <is>
          <t>Fraction</t>
        </is>
      </c>
      <c r="E1105" s="4" t="inlineStr">
        <is>
          <t>Explanation</t>
        </is>
      </c>
      <c r="F1105" s="4" t="inlineStr">
        <is>
          <t>Educational</t>
        </is>
      </c>
      <c r="G1105" s="5" t="inlineStr">
        <is>
          <t>what are continued fractions in mathematics</t>
        </is>
      </c>
      <c r="H1105" s="5" t="inlineStr">
        <is>
          <t>continued fraction expansion pi, best rational approximations, golden ratio continued fraction</t>
        </is>
      </c>
      <c r="I1105" s="5" t="inlineStr">
        <is>
          <t>Fraction Calculator</t>
        </is>
      </c>
      <c r="J1105" s="5" t="inlineStr">
        <is>
          <t>/calculators/fraction</t>
        </is>
      </c>
      <c r="K1105" s="5" t="inlineStr">
        <is>
          <t>Introduce continued fraction expansions $[a_0; a_1, a_2, \dots]$, showing why $22/7$ and $355/113$ provide extraordinarily accurate rational approximations of $\pi$.</t>
        </is>
      </c>
      <c r="L1105" s="4" t="inlineStr">
        <is>
          <t>YES</t>
        </is>
      </c>
      <c r="M1105" s="4" t="inlineStr">
        <is>
          <t>LOW</t>
        </is>
      </c>
      <c r="N1105" s="4" t="inlineStr">
        <is>
          <t>READY</t>
        </is>
      </c>
      <c r="O1105" s="5" t="inlineStr"/>
      <c r="P1105" s="5" t="inlineStr"/>
      <c r="Q1105" s="5" t="inlineStr"/>
      <c r="R1105" s="5" t="inlineStr"/>
    </row>
    <row r="1106" ht="20" customHeight="1">
      <c r="A1106" s="2" t="inlineStr">
        <is>
          <t>ST1105</t>
        </is>
      </c>
      <c r="B1106" s="3" t="inlineStr">
        <is>
          <t>Summary Guide: Complete Reference for Adding, Subtracting, Multiplying, and Dividing Fractions</t>
        </is>
      </c>
      <c r="C1106" s="2" t="inlineStr">
        <is>
          <t>General</t>
        </is>
      </c>
      <c r="D1106" s="3" t="inlineStr">
        <is>
          <t>Fraction</t>
        </is>
      </c>
      <c r="E1106" s="2" t="inlineStr">
        <is>
          <t>Formula Guide</t>
        </is>
      </c>
      <c r="F1106" s="2" t="inlineStr">
        <is>
          <t>Reference</t>
        </is>
      </c>
      <c r="G1106" s="3" t="inlineStr">
        <is>
          <t>fractions operations formulas summary</t>
        </is>
      </c>
      <c r="H1106" s="3" t="inlineStr">
        <is>
          <t>all fraction formulas cheat sheet, lcd reciprocal mixed numbers reference, fraction math guide</t>
        </is>
      </c>
      <c r="I1106" s="3" t="inlineStr">
        <is>
          <t>Fraction Calculator</t>
        </is>
      </c>
      <c r="J1106" s="3" t="inlineStr">
        <is>
          <t>/calculators/fraction</t>
        </is>
      </c>
      <c r="K1106" s="3" t="inlineStr">
        <is>
          <t>Consolidated reference sheet covering addition, subtraction, multiplication, division (Keep-Change-Flip), improper-mixed conversions, and GCD simplification.</t>
        </is>
      </c>
      <c r="L1106" s="2" t="inlineStr">
        <is>
          <t>YES</t>
        </is>
      </c>
      <c r="M1106" s="2" t="inlineStr">
        <is>
          <t>HIGH</t>
        </is>
      </c>
      <c r="N1106" s="2" t="inlineStr">
        <is>
          <t>READY</t>
        </is>
      </c>
      <c r="O1106" s="3" t="inlineStr"/>
      <c r="P1106" s="3" t="inlineStr"/>
      <c r="Q1106" s="3" t="inlineStr"/>
      <c r="R1106" s="3" t="inlineStr"/>
    </row>
  </sheetData>
  <autoFilter ref="A1:R1106"/>
  <dataValidations count="6">
    <dataValidation sqref="C2:C1106" showDropDown="0" showInputMessage="0" showErrorMessage="0" allowBlank="0" type="list">
      <formula1>"JEE,Student,Career,Finance,General"</formula1>
    </dataValidation>
    <dataValidation sqref="E2:E1106" showDropDown="0" showInputMessage="0" showErrorMessage="0" allowBlank="0" type="list">
      <formula1>"Guide,How-To,Explanation,Formula Guide,Calculator Guide,Example,Comparison,FAQ,Planning Guide,Reference"</formula1>
    </dataValidation>
    <dataValidation sqref="F2:F1106" showDropDown="0" showInputMessage="0" showErrorMessage="0" allowBlank="0" type="list">
      <formula1>"Informational,How-To,Calculator,Educational,Comparison,Planning,Example,Reference"</formula1>
    </dataValidation>
    <dataValidation sqref="L2:L1106" showDropDown="0" showInputMessage="0" showErrorMessage="0" allowBlank="0" type="list">
      <formula1>"YES,NO,SEASONAL"</formula1>
    </dataValidation>
    <dataValidation sqref="M2:M1106" showDropDown="0" showInputMessage="0" showErrorMessage="0" allowBlank="0" type="list">
      <formula1>"HIGH,MEDIUM,LOW"</formula1>
    </dataValidation>
    <dataValidation sqref="N2:N1106" showDropDown="0" showInputMessage="0" showErrorMessage="0" allowBlank="0" type="list">
      <formula1>"READY,PROCESSING,PUBLISHED,FAILED,REVIEW_REQUIRED,SKIPPED"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90" customWidth="1" min="4" max="4"/>
  </cols>
  <sheetData>
    <row r="1" ht="28" customHeight="1">
      <c r="A1" s="6" t="inlineStr">
        <is>
          <t>Category</t>
        </is>
      </c>
      <c r="B1" s="6" t="inlineStr">
        <is>
          <t>Topic Cluster</t>
        </is>
      </c>
      <c r="C1" s="6" t="inlineStr">
        <is>
          <t>Topic Count</t>
        </is>
      </c>
      <c r="D1" s="6" t="inlineStr">
        <is>
          <t>Key Themes &amp; Search Direction</t>
        </is>
      </c>
    </row>
    <row r="2" ht="20" customHeight="1">
      <c r="A2" s="3" t="inlineStr">
        <is>
          <t>Career</t>
        </is>
      </c>
      <c r="B2" s="3" t="inlineStr">
        <is>
          <t>Bonus</t>
        </is>
      </c>
      <c r="C2" s="7" t="n">
        <v>15</v>
      </c>
      <c r="D2" s="3" t="inlineStr">
        <is>
          <t>Performance multipliers, heavy TDS deductions, statutory 8.33% bonus, pro-rata payouts, clawbacks.</t>
        </is>
      </c>
    </row>
    <row r="3" ht="20" customHeight="1">
      <c r="A3" s="5" t="inlineStr">
        <is>
          <t>Career</t>
        </is>
      </c>
      <c r="B3" s="5" t="inlineStr">
        <is>
          <t>CTC</t>
        </is>
      </c>
      <c r="C3" s="8" t="n">
        <v>55</v>
      </c>
      <c r="D3" s="5" t="inlineStr">
        <is>
          <t>Gross vs net take-home, Indian salary slip line items (Basic, HRA, PF, PT, Gratuity, TDS), 3-35 LPA breakdowns.</t>
        </is>
      </c>
    </row>
    <row r="4" ht="20" customHeight="1">
      <c r="A4" s="3" t="inlineStr">
        <is>
          <t>Career</t>
        </is>
      </c>
      <c r="B4" s="3" t="inlineStr">
        <is>
          <t>Increment</t>
        </is>
      </c>
      <c r="C4" s="7" t="n">
        <v>25</v>
      </c>
      <c r="D4" s="3" t="inlineStr">
        <is>
          <t>Absolute increments, backdated arrears, real wage growth vs inflation, CAGR over multi-year careers.</t>
        </is>
      </c>
    </row>
    <row r="5" ht="20" customHeight="1">
      <c r="A5" s="5" t="inlineStr">
        <is>
          <t>Career</t>
        </is>
      </c>
      <c r="B5" s="5" t="inlineStr">
        <is>
          <t>Internship</t>
        </is>
      </c>
      <c r="C5" s="8" t="n">
        <v>10</v>
      </c>
      <c r="D5" s="5" t="inlineStr">
        <is>
          <t>Hourly/monthly stipend conversions, taxability under Section 10(16), living expense budgeting, PPO evaluation.</t>
        </is>
      </c>
    </row>
    <row r="6" ht="20" customHeight="1">
      <c r="A6" s="3" t="inlineStr">
        <is>
          <t>Career</t>
        </is>
      </c>
      <c r="B6" s="3" t="inlineStr">
        <is>
          <t>PF</t>
        </is>
      </c>
      <c r="C6" s="7" t="n">
        <v>35</v>
      </c>
      <c r="D6" s="3" t="inlineStr">
        <is>
          <t>EPFO 12% calculation, EPS pension formula, VPF, Rs 2.5L tax limit, UAN online transfer, retirement corpus math.</t>
        </is>
      </c>
    </row>
    <row r="7" ht="20" customHeight="1">
      <c r="A7" s="5" t="inlineStr">
        <is>
          <t>Career</t>
        </is>
      </c>
      <c r="B7" s="5" t="inlineStr">
        <is>
          <t>Salary</t>
        </is>
      </c>
      <c r="C7" s="8" t="n">
        <v>25</v>
      </c>
      <c r="D7" s="5" t="inlineStr">
        <is>
          <t>Annual to monthly conversion, gross paycheck calculations, weekly/hourly rates, freelance projecting.</t>
        </is>
      </c>
    </row>
    <row r="8" ht="20" customHeight="1">
      <c r="A8" s="3" t="inlineStr">
        <is>
          <t>Career</t>
        </is>
      </c>
      <c r="B8" s="3" t="inlineStr">
        <is>
          <t>Salary Hike</t>
        </is>
      </c>
      <c r="C8" s="7" t="n">
        <v>35</v>
      </c>
      <c r="D8" s="3" t="inlineStr">
        <is>
          <t>Appraisal percentages, job switch negotiations, tax bracket progression, 5% to 100% hike models.</t>
        </is>
      </c>
    </row>
    <row r="9" ht="20" customHeight="1">
      <c r="A9" s="5" t="inlineStr">
        <is>
          <t>Finance</t>
        </is>
      </c>
      <c r="B9" s="5" t="inlineStr">
        <is>
          <t>EMI</t>
        </is>
      </c>
      <c r="C9" s="8" t="n">
        <v>50</v>
      </c>
      <c r="D9" s="5" t="inlineStr">
        <is>
          <t>Reducing balance math, amortization schedule, loan tenure vs interest trade-off, prepaying 1 extra EMI/yr.</t>
        </is>
      </c>
    </row>
    <row r="10" ht="20" customHeight="1">
      <c r="A10" s="3" t="inlineStr">
        <is>
          <t>Finance</t>
        </is>
      </c>
      <c r="B10" s="3" t="inlineStr">
        <is>
          <t>FD</t>
        </is>
      </c>
      <c r="C10" s="7" t="n">
        <v>25</v>
      </c>
      <c r="D10" s="3" t="inlineStr">
        <is>
          <t>Quarterly compounding formula, cumulative vs non-cumulative, Section 194A TDS, DICGC Rs 5L safety net.</t>
        </is>
      </c>
    </row>
    <row r="11" ht="20" customHeight="1">
      <c r="A11" s="5" t="inlineStr">
        <is>
          <t>Finance</t>
        </is>
      </c>
      <c r="B11" s="5" t="inlineStr">
        <is>
          <t>GST</t>
        </is>
      </c>
      <c r="C11" s="8" t="n">
        <v>40</v>
      </c>
      <c r="D11" s="5" t="inlineStr">
        <is>
          <t>Exclusive vs inclusive formulas, reverse GST extraction from MRP, 50:50 CGST/SGST split, 5/12/18/28% slabs.</t>
        </is>
      </c>
    </row>
    <row r="12" ht="20" customHeight="1">
      <c r="A12" s="3" t="inlineStr">
        <is>
          <t>Finance</t>
        </is>
      </c>
      <c r="B12" s="3" t="inlineStr">
        <is>
          <t>Income Tax</t>
        </is>
      </c>
      <c r="C12" s="7" t="n">
        <v>25</v>
      </c>
      <c r="D12" s="3" t="inlineStr">
        <is>
          <t>New vs Old regime slabs FY 2024-25/2025-26, Section 87A rebate, standard deduction Rs 75k, 80C/80D/80CCD.</t>
        </is>
      </c>
    </row>
    <row r="13" ht="20" customHeight="1">
      <c r="A13" s="5" t="inlineStr">
        <is>
          <t>Finance</t>
        </is>
      </c>
      <c r="B13" s="5" t="inlineStr">
        <is>
          <t>RD</t>
        </is>
      </c>
      <c r="C13" s="8" t="n">
        <v>20</v>
      </c>
      <c r="D13" s="5" t="inlineStr">
        <is>
          <t>Series compounding on monthly deposits, Post Office 5-year RD, emergency fund accumulation, flexi RDs.</t>
        </is>
      </c>
    </row>
    <row r="14" ht="20" customHeight="1">
      <c r="A14" s="3" t="inlineStr">
        <is>
          <t>Finance</t>
        </is>
      </c>
      <c r="B14" s="3" t="inlineStr">
        <is>
          <t>SIP</t>
        </is>
      </c>
      <c r="C14" s="7" t="n">
        <v>40</v>
      </c>
      <c r="D14" s="3" t="inlineStr">
        <is>
          <t>Mutual fund future value formula, rupee cost averaging, XIRR, Step-Up SIP 2x multiplier, Rs 1 Crore roadmap.</t>
        </is>
      </c>
    </row>
    <row r="15" ht="20" customHeight="1">
      <c r="A15" s="5" t="inlineStr">
        <is>
          <t>General</t>
        </is>
      </c>
      <c r="B15" s="5" t="inlineStr">
        <is>
          <t>Age</t>
        </is>
      </c>
      <c r="C15" s="8" t="n">
        <v>25</v>
      </c>
      <c r="D15" s="5" t="inlineStr">
        <is>
          <t>Day/month borrowing calendar math, government exam cutoffs, leap years, Zeller's congruence weekday finding.</t>
        </is>
      </c>
    </row>
    <row r="16" ht="20" customHeight="1">
      <c r="A16" s="3" t="inlineStr">
        <is>
          <t>General</t>
        </is>
      </c>
      <c r="B16" s="3" t="inlineStr">
        <is>
          <t>BMI</t>
        </is>
      </c>
      <c r="C16" s="7" t="n">
        <v>25</v>
      </c>
      <c r="D16" s="3" t="inlineStr">
        <is>
          <t>Metric/imperial formulas, Asian Indian lower cutoffs (23/25), waist-to-height ratio, muscle vs fat limitations.</t>
        </is>
      </c>
    </row>
    <row r="17" ht="20" customHeight="1">
      <c r="A17" s="5" t="inlineStr">
        <is>
          <t>General</t>
        </is>
      </c>
      <c r="B17" s="5" t="inlineStr">
        <is>
          <t>Date</t>
        </is>
      </c>
      <c r="C17" s="8" t="n">
        <v>20</v>
      </c>
      <c r="D17" s="5" t="inlineStr">
        <is>
          <t>Calendar intervals, business days excluding holidays, deadline addition, 90-day vs 3-month variance, Doomsday rule.</t>
        </is>
      </c>
    </row>
    <row r="18" ht="20" customHeight="1">
      <c r="A18" s="3" t="inlineStr">
        <is>
          <t>General</t>
        </is>
      </c>
      <c r="B18" s="3" t="inlineStr">
        <is>
          <t>Discount</t>
        </is>
      </c>
      <c r="C18" s="7" t="n">
        <v>20</v>
      </c>
      <c r="D18" s="3" t="inlineStr">
        <is>
          <t>Sale prices, successive chain discounts (50%+50%=75%), BOGO math, cash vs trade discounts, reverse markups.</t>
        </is>
      </c>
    </row>
    <row r="19" ht="20" customHeight="1">
      <c r="A19" s="5" t="inlineStr">
        <is>
          <t>General</t>
        </is>
      </c>
      <c r="B19" s="5" t="inlineStr">
        <is>
          <t>Fraction</t>
        </is>
      </c>
      <c r="C19" s="8" t="n">
        <v>15</v>
      </c>
      <c r="D19" s="5" t="inlineStr">
        <is>
          <t>Adding unlike denominators (LCD), multiplying, Keep-Change-Flip division, improper vs mixed conversions.</t>
        </is>
      </c>
    </row>
    <row r="20" ht="20" customHeight="1">
      <c r="A20" s="3" t="inlineStr">
        <is>
          <t>General</t>
        </is>
      </c>
      <c r="B20" s="3" t="inlineStr">
        <is>
          <t>Profit/Loss</t>
        </is>
      </c>
      <c r="C20" s="7" t="n">
        <v>15</v>
      </c>
      <c r="D20" s="3" t="inlineStr">
        <is>
          <t>CP/SP formulas, markup on cost vs margin on revenue, break-even point in units, dishonest dealer math.</t>
        </is>
      </c>
    </row>
    <row r="21" ht="20" customHeight="1">
      <c r="A21" s="5" t="inlineStr">
        <is>
          <t>General</t>
        </is>
      </c>
      <c r="B21" s="5" t="inlineStr">
        <is>
          <t>Ratio</t>
        </is>
      </c>
      <c r="C21" s="8" t="n">
        <v>15</v>
      </c>
      <c r="D21" s="5" t="inlineStr">
        <is>
          <t>GCD simplification, extreme vs mean proportion, 16:9 aspect ratios, dividing amounts, golden ratio math.</t>
        </is>
      </c>
    </row>
    <row r="22" ht="20" customHeight="1">
      <c r="A22" s="3" t="inlineStr">
        <is>
          <t>General</t>
        </is>
      </c>
      <c r="B22" s="3" t="inlineStr">
        <is>
          <t>Unit Conversion</t>
        </is>
      </c>
      <c r="C22" s="7" t="n">
        <v>45</v>
      </c>
      <c r="D22" s="3" t="inlineStr">
        <is>
          <t>Length, temperature, mass, speed, digital binary storage (GB vs GiB), pressure, area (sq ft, acre, bigha).</t>
        </is>
      </c>
    </row>
    <row r="23" ht="20" customHeight="1">
      <c r="A23" s="5" t="inlineStr">
        <is>
          <t>JEE</t>
        </is>
      </c>
      <c r="B23" s="5" t="inlineStr">
        <is>
          <t>College Prediction</t>
        </is>
      </c>
      <c r="C23" s="8" t="n">
        <v>60</v>
      </c>
      <c r="D23" s="5" t="inlineStr">
        <is>
          <t>JoSAA counselling, HS vs OS quotas, branch comparison, closing ranks across 31 NITs, IIITs, and GFTIs.</t>
        </is>
      </c>
    </row>
    <row r="24" ht="20" customHeight="1">
      <c r="A24" s="3" t="inlineStr">
        <is>
          <t>JEE</t>
        </is>
      </c>
      <c r="B24" s="3" t="inlineStr">
        <is>
          <t>Exam Planning</t>
        </is>
      </c>
      <c r="C24" s="7" t="n">
        <v>35</v>
      </c>
      <c r="D24" s="3" t="inlineStr">
        <is>
          <t>Revision roadmaps, exam countdown schedules, sleep conditioning, stress triage, mock test strategy.</t>
        </is>
      </c>
    </row>
    <row r="25" ht="20" customHeight="1">
      <c r="A25" s="5" t="inlineStr">
        <is>
          <t>JEE</t>
        </is>
      </c>
      <c r="B25" s="5" t="inlineStr">
        <is>
          <t>Marks &amp; Scoring</t>
        </is>
      </c>
      <c r="C25" s="8" t="n">
        <v>40</v>
      </c>
      <c r="D25" s="5" t="inlineStr">
        <is>
          <t>Raw marks tallying, shift difficulty variance, negative marking analysis, score milestones (50-270).</t>
        </is>
      </c>
    </row>
    <row r="26" ht="20" customHeight="1">
      <c r="A26" s="3" t="inlineStr">
        <is>
          <t>JEE</t>
        </is>
      </c>
      <c r="B26" s="3" t="inlineStr">
        <is>
          <t>Marks Calculator</t>
        </is>
      </c>
      <c r="C26" s="7" t="n">
        <v>25</v>
      </c>
      <c r="D26" s="3" t="inlineStr">
        <is>
          <t>Answer key accuracy, Section B numerical rules, opportunity cost math, error notebooks.</t>
        </is>
      </c>
    </row>
    <row r="27" ht="20" customHeight="1">
      <c r="A27" s="5" t="inlineStr">
        <is>
          <t>JEE</t>
        </is>
      </c>
      <c r="B27" s="5" t="inlineStr">
        <is>
          <t>Percentile</t>
        </is>
      </c>
      <c r="C27" s="8" t="n">
        <v>45</v>
      </c>
      <c r="D27" s="5" t="inlineStr">
        <is>
          <t>NTA normalization formula, 7 decimals, session 1 vs 2, percentile bands (75-99.95), shift equity.</t>
        </is>
      </c>
    </row>
    <row r="28" ht="20" customHeight="1">
      <c r="A28" s="3" t="inlineStr">
        <is>
          <t>JEE</t>
        </is>
      </c>
      <c r="B28" s="3" t="inlineStr">
        <is>
          <t>Rank</t>
        </is>
      </c>
      <c r="C28" s="7" t="n">
        <v>35</v>
      </c>
      <c r="D28" s="3" t="inlineStr">
        <is>
          <t>AIR formula, CRL vs Category, tie-breakers, candidate volume impact, rank milestones (1k to 100k+).</t>
        </is>
      </c>
    </row>
    <row r="29" ht="20" customHeight="1">
      <c r="A29" s="5" t="inlineStr">
        <is>
          <t>Student</t>
        </is>
      </c>
      <c r="B29" s="5" t="inlineStr">
        <is>
          <t>Attendance</t>
        </is>
      </c>
      <c r="C29" s="8" t="n">
        <v>60</v>
      </c>
      <c r="D29" s="5" t="inlineStr">
        <is>
          <t>75% criteria, recovery formulas, safe bunk calculations, medical condonation, university detention rules.</t>
        </is>
      </c>
    </row>
    <row r="30" ht="20" customHeight="1">
      <c r="A30" s="3" t="inlineStr">
        <is>
          <t>Student</t>
        </is>
      </c>
      <c r="B30" s="3" t="inlineStr">
        <is>
          <t>Average Marks</t>
        </is>
      </c>
      <c r="C30" s="7" t="n">
        <v>25</v>
      </c>
      <c r="D30" s="3" t="inlineStr">
        <is>
          <t>Arithmetic mean vs weighted average, running averages, outlier impacts, dropping lowest quiz scores.</t>
        </is>
      </c>
    </row>
    <row r="31" ht="20" customHeight="1">
      <c r="A31" s="5" t="inlineStr">
        <is>
          <t>Student</t>
        </is>
      </c>
      <c r="B31" s="5" t="inlineStr">
        <is>
          <t>CGPA</t>
        </is>
      </c>
      <c r="C31" s="8" t="n">
        <v>55</v>
      </c>
      <c r="D31" s="5" t="inlineStr">
        <is>
          <t>University-specific multipliers (CBSE 9.5x, AICTE, VTU, MU, AU, KTU), milestones (6.0 to 10.0), transcript rules.</t>
        </is>
      </c>
    </row>
    <row r="32" ht="20" customHeight="1">
      <c r="A32" s="3" t="inlineStr">
        <is>
          <t>Student</t>
        </is>
      </c>
      <c r="B32" s="3" t="inlineStr">
        <is>
          <t>GPA</t>
        </is>
      </c>
      <c r="C32" s="7" t="n">
        <v>35</v>
      </c>
      <c r="D32" s="3" t="inlineStr">
        <is>
          <t>Credit-weighted SGPA/CGPA, quality points, relative grading curves, backlog clearance impact, CBCS rules.</t>
        </is>
      </c>
    </row>
    <row r="33" ht="20" customHeight="1">
      <c r="A33" s="5" t="inlineStr">
        <is>
          <t>Student</t>
        </is>
      </c>
      <c r="B33" s="5" t="inlineStr">
        <is>
          <t>Marks</t>
        </is>
      </c>
      <c r="C33" s="8" t="n">
        <v>35</v>
      </c>
      <c r="D33" s="5" t="inlineStr">
        <is>
          <t>Class 10/12 board calculations, best 4/5 rules, internal vs practical splits, degree aggregate percentages.</t>
        </is>
      </c>
    </row>
    <row r="34" ht="20" customHeight="1">
      <c r="A34" s="3" t="inlineStr">
        <is>
          <t>Student</t>
        </is>
      </c>
      <c r="B34" s="3" t="inlineStr">
        <is>
          <t>Percentage</t>
        </is>
      </c>
      <c r="C34" s="7" t="n">
        <v>35</v>
      </c>
      <c r="D34" s="3" t="inlineStr">
        <is>
          <t>Core percentage formulas, increase/decrease, reverse percentage, mental math benchmarks, consecutive percentages.</t>
        </is>
      </c>
    </row>
    <row r="35" ht="20" customHeight="1">
      <c r="A35" s="5" t="inlineStr">
        <is>
          <t>Student</t>
        </is>
      </c>
      <c r="B35" s="5" t="inlineStr">
        <is>
          <t>Required Marks</t>
        </is>
      </c>
      <c r="C35" s="8" t="n">
        <v>25</v>
      </c>
      <c r="D35" s="5" t="inlineStr">
        <is>
          <t>Target aggregate planning, end-sem recovery calculations, passing criteria with separate theory/practicals.</t>
        </is>
      </c>
    </row>
    <row r="36" ht="20" customHeight="1">
      <c r="A36" s="3" t="inlineStr">
        <is>
          <t>Student</t>
        </is>
      </c>
      <c r="B36" s="3" t="inlineStr">
        <is>
          <t>Study Planning</t>
        </is>
      </c>
      <c r="C36" s="7" t="n">
        <v>15</v>
      </c>
      <c r="D36" s="3" t="inlineStr">
        <is>
          <t>Available study hours budget, subject credit allocation, 50/10 study blocks, dual-prep scheduling.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36" customWidth="1" min="4" max="4"/>
    <col width="24" customWidth="1" min="5" max="5"/>
  </cols>
  <sheetData>
    <row r="1" ht="28" customHeight="1">
      <c r="A1" s="6" t="inlineStr">
        <is>
          <t>Tool #</t>
        </is>
      </c>
      <c r="B1" s="6" t="inlineStr">
        <is>
          <t>Tool Name</t>
        </is>
      </c>
      <c r="C1" s="6" t="inlineStr">
        <is>
          <t>Category</t>
        </is>
      </c>
      <c r="D1" s="6" t="inlineStr">
        <is>
          <t>Canonical Route Slug</t>
        </is>
      </c>
      <c r="E1" s="6" t="inlineStr">
        <is>
          <t>Associated Topic Count</t>
        </is>
      </c>
    </row>
    <row r="2" ht="20" customHeight="1">
      <c r="A2" s="2" t="n">
        <v>1</v>
      </c>
      <c r="B2" s="3" t="inlineStr">
        <is>
          <t>JEE Main Marks to Percentile</t>
        </is>
      </c>
      <c r="C2" s="2" t="inlineStr">
        <is>
          <t>JEE</t>
        </is>
      </c>
      <c r="D2" s="3" t="inlineStr">
        <is>
          <t>/jee/marks-to-percentile</t>
        </is>
      </c>
      <c r="E2" s="2" t="n">
        <v>70</v>
      </c>
    </row>
    <row r="3" ht="20" customHeight="1">
      <c r="A3" s="4" t="n">
        <v>2</v>
      </c>
      <c r="B3" s="5" t="inlineStr">
        <is>
          <t>JEE Main Percentile to Rank</t>
        </is>
      </c>
      <c r="C3" s="4" t="inlineStr">
        <is>
          <t>JEE</t>
        </is>
      </c>
      <c r="D3" s="5" t="inlineStr">
        <is>
          <t>/jee/percentile-to-rank</t>
        </is>
      </c>
      <c r="E3" s="4" t="n">
        <v>36</v>
      </c>
    </row>
    <row r="4" ht="20" customHeight="1">
      <c r="A4" s="2" t="n">
        <v>3</v>
      </c>
      <c r="B4" s="3" t="inlineStr">
        <is>
          <t>JEE College Predictor</t>
        </is>
      </c>
      <c r="C4" s="2" t="inlineStr">
        <is>
          <t>JEE</t>
        </is>
      </c>
      <c r="D4" s="3" t="inlineStr">
        <is>
          <t>/jee/college-predictor</t>
        </is>
      </c>
      <c r="E4" s="2" t="n">
        <v>11</v>
      </c>
    </row>
    <row r="5" ht="20" customHeight="1">
      <c r="A5" s="4" t="n">
        <v>4</v>
      </c>
      <c r="B5" s="5" t="inlineStr">
        <is>
          <t>JEE Cutoff Explorer</t>
        </is>
      </c>
      <c r="C5" s="4" t="inlineStr">
        <is>
          <t>JEE</t>
        </is>
      </c>
      <c r="D5" s="5" t="inlineStr">
        <is>
          <t>/jee/cutoff</t>
        </is>
      </c>
      <c r="E5" s="4" t="n">
        <v>49</v>
      </c>
    </row>
    <row r="6" ht="20" customHeight="1">
      <c r="A6" s="2" t="n">
        <v>5</v>
      </c>
      <c r="B6" s="3" t="inlineStr">
        <is>
          <t>JEE Marks Calculator</t>
        </is>
      </c>
      <c r="C6" s="2" t="inlineStr">
        <is>
          <t>JEE</t>
        </is>
      </c>
      <c r="D6" s="3" t="inlineStr">
        <is>
          <t>/jee/marks-calculator</t>
        </is>
      </c>
      <c r="E6" s="2" t="n">
        <v>39</v>
      </c>
    </row>
    <row r="7" ht="20" customHeight="1">
      <c r="A7" s="4" t="n">
        <v>6</v>
      </c>
      <c r="B7" s="5" t="inlineStr">
        <is>
          <t>JEE Exam Countdown</t>
        </is>
      </c>
      <c r="C7" s="4" t="inlineStr">
        <is>
          <t>JEE</t>
        </is>
      </c>
      <c r="D7" s="5" t="inlineStr">
        <is>
          <t>/jee/countdown</t>
        </is>
      </c>
      <c r="E7" s="4" t="n">
        <v>35</v>
      </c>
    </row>
    <row r="8" ht="20" customHeight="1">
      <c r="A8" s="2" t="n">
        <v>7</v>
      </c>
      <c r="B8" s="3" t="inlineStr">
        <is>
          <t>CGPA to Percentage Calculator</t>
        </is>
      </c>
      <c r="C8" s="2" t="inlineStr">
        <is>
          <t>Student</t>
        </is>
      </c>
      <c r="D8" s="3" t="inlineStr">
        <is>
          <t>/student/cgpa-to-percentage</t>
        </is>
      </c>
      <c r="E8" s="2" t="n">
        <v>54</v>
      </c>
    </row>
    <row r="9" ht="20" customHeight="1">
      <c r="A9" s="4" t="n">
        <v>8</v>
      </c>
      <c r="B9" s="5" t="inlineStr">
        <is>
          <t>Percentage Calculator</t>
        </is>
      </c>
      <c r="C9" s="4" t="inlineStr">
        <is>
          <t>Student</t>
        </is>
      </c>
      <c r="D9" s="5" t="inlineStr">
        <is>
          <t>/student/percentage-calculator</t>
        </is>
      </c>
      <c r="E9" s="4" t="n">
        <v>27</v>
      </c>
    </row>
    <row r="10" ht="20" customHeight="1">
      <c r="A10" s="2" t="n">
        <v>9</v>
      </c>
      <c r="B10" s="3" t="inlineStr">
        <is>
          <t>Marks Percentage Calculator</t>
        </is>
      </c>
      <c r="C10" s="2" t="inlineStr">
        <is>
          <t>Student</t>
        </is>
      </c>
      <c r="D10" s="3" t="inlineStr">
        <is>
          <t>/student/marks-percentage</t>
        </is>
      </c>
      <c r="E10" s="2" t="n">
        <v>42</v>
      </c>
    </row>
    <row r="11" ht="20" customHeight="1">
      <c r="A11" s="4" t="n">
        <v>10</v>
      </c>
      <c r="B11" s="5" t="inlineStr">
        <is>
          <t>GPA Calculator</t>
        </is>
      </c>
      <c r="C11" s="4" t="inlineStr">
        <is>
          <t>Student</t>
        </is>
      </c>
      <c r="D11" s="5" t="inlineStr">
        <is>
          <t>/student/gpa-calculator</t>
        </is>
      </c>
      <c r="E11" s="4" t="n">
        <v>36</v>
      </c>
    </row>
    <row r="12" ht="20" customHeight="1">
      <c r="A12" s="2" t="n">
        <v>11</v>
      </c>
      <c r="B12" s="3" t="inlineStr">
        <is>
          <t>Attendance Calculator</t>
        </is>
      </c>
      <c r="C12" s="2" t="inlineStr">
        <is>
          <t>Student</t>
        </is>
      </c>
      <c r="D12" s="3" t="inlineStr">
        <is>
          <t>/student/attendance-calculator</t>
        </is>
      </c>
      <c r="E12" s="2" t="n">
        <v>61</v>
      </c>
    </row>
    <row r="13" ht="20" customHeight="1">
      <c r="A13" s="4" t="n">
        <v>12</v>
      </c>
      <c r="B13" s="5" t="inlineStr">
        <is>
          <t>Required Marks Calculator</t>
        </is>
      </c>
      <c r="C13" s="4" t="inlineStr">
        <is>
          <t>Student</t>
        </is>
      </c>
      <c r="D13" s="5" t="inlineStr">
        <is>
          <t>/student/required-marks</t>
        </is>
      </c>
      <c r="E13" s="4" t="n">
        <v>25</v>
      </c>
    </row>
    <row r="14" ht="20" customHeight="1">
      <c r="A14" s="2" t="n">
        <v>13</v>
      </c>
      <c r="B14" s="3" t="inlineStr">
        <is>
          <t>Average Marks Calculator</t>
        </is>
      </c>
      <c r="C14" s="2" t="inlineStr">
        <is>
          <t>Student</t>
        </is>
      </c>
      <c r="D14" s="3" t="inlineStr">
        <is>
          <t>/student/average-marks</t>
        </is>
      </c>
      <c r="E14" s="2" t="n">
        <v>25</v>
      </c>
    </row>
    <row r="15" ht="20" customHeight="1">
      <c r="A15" s="4" t="n">
        <v>14</v>
      </c>
      <c r="B15" s="5" t="inlineStr">
        <is>
          <t>Study Hours Calculator</t>
        </is>
      </c>
      <c r="C15" s="4" t="inlineStr">
        <is>
          <t>Student</t>
        </is>
      </c>
      <c r="D15" s="5" t="inlineStr">
        <is>
          <t>/student/study-hours</t>
        </is>
      </c>
      <c r="E15" s="4" t="n">
        <v>15</v>
      </c>
    </row>
    <row r="16" ht="20" customHeight="1">
      <c r="A16" s="2" t="n">
        <v>15</v>
      </c>
      <c r="B16" s="3" t="inlineStr">
        <is>
          <t>CTC to In-Hand Salary Calculator</t>
        </is>
      </c>
      <c r="C16" s="2" t="inlineStr">
        <is>
          <t>Career</t>
        </is>
      </c>
      <c r="D16" s="3" t="inlineStr">
        <is>
          <t>/career/ctc-to-in-hand</t>
        </is>
      </c>
      <c r="E16" s="2" t="n">
        <v>55</v>
      </c>
    </row>
    <row r="17" ht="20" customHeight="1">
      <c r="A17" s="4" t="n">
        <v>16</v>
      </c>
      <c r="B17" s="5" t="inlineStr">
        <is>
          <t>Monthly to Annual Salary Calculator</t>
        </is>
      </c>
      <c r="C17" s="4" t="inlineStr">
        <is>
          <t>Career</t>
        </is>
      </c>
      <c r="D17" s="5" t="inlineStr">
        <is>
          <t>/career/monthly-to-annual-salary</t>
        </is>
      </c>
      <c r="E17" s="4" t="n">
        <v>6</v>
      </c>
    </row>
    <row r="18" ht="20" customHeight="1">
      <c r="A18" s="2" t="n">
        <v>17</v>
      </c>
      <c r="B18" s="3" t="inlineStr">
        <is>
          <t>Annual to Monthly Salary Calculator</t>
        </is>
      </c>
      <c r="C18" s="2" t="inlineStr">
        <is>
          <t>Career</t>
        </is>
      </c>
      <c r="D18" s="3" t="inlineStr">
        <is>
          <t>/career/annual-to-monthly-salary</t>
        </is>
      </c>
      <c r="E18" s="2" t="n">
        <v>19</v>
      </c>
    </row>
    <row r="19" ht="20" customHeight="1">
      <c r="A19" s="4" t="n">
        <v>18</v>
      </c>
      <c r="B19" s="5" t="inlineStr">
        <is>
          <t>Salary Hike Calculator</t>
        </is>
      </c>
      <c r="C19" s="4" t="inlineStr">
        <is>
          <t>Career</t>
        </is>
      </c>
      <c r="D19" s="5" t="inlineStr">
        <is>
          <t>/career/salary-hike</t>
        </is>
      </c>
      <c r="E19" s="4" t="n">
        <v>35</v>
      </c>
    </row>
    <row r="20" ht="20" customHeight="1">
      <c r="A20" s="2" t="n">
        <v>19</v>
      </c>
      <c r="B20" s="3" t="inlineStr">
        <is>
          <t>Increment Calculator</t>
        </is>
      </c>
      <c r="C20" s="2" t="inlineStr">
        <is>
          <t>Career</t>
        </is>
      </c>
      <c r="D20" s="3" t="inlineStr">
        <is>
          <t>/career/increment-calculator</t>
        </is>
      </c>
      <c r="E20" s="2" t="n">
        <v>25</v>
      </c>
    </row>
    <row r="21" ht="20" customHeight="1">
      <c r="A21" s="4" t="n">
        <v>20</v>
      </c>
      <c r="B21" s="5" t="inlineStr">
        <is>
          <t>PF Calculator</t>
        </is>
      </c>
      <c r="C21" s="4" t="inlineStr">
        <is>
          <t>Career</t>
        </is>
      </c>
      <c r="D21" s="5" t="inlineStr">
        <is>
          <t>/career/pf-calculator</t>
        </is>
      </c>
      <c r="E21" s="4" t="n">
        <v>35</v>
      </c>
    </row>
    <row r="22" ht="20" customHeight="1">
      <c r="A22" s="2" t="n">
        <v>21</v>
      </c>
      <c r="B22" s="3" t="inlineStr">
        <is>
          <t>Bonus Calculator</t>
        </is>
      </c>
      <c r="C22" s="2" t="inlineStr">
        <is>
          <t>Career</t>
        </is>
      </c>
      <c r="D22" s="3" t="inlineStr">
        <is>
          <t>/career/bonus-calculator</t>
        </is>
      </c>
      <c r="E22" s="2" t="n">
        <v>15</v>
      </c>
    </row>
    <row r="23" ht="20" customHeight="1">
      <c r="A23" s="4" t="n">
        <v>22</v>
      </c>
      <c r="B23" s="5" t="inlineStr">
        <is>
          <t>Internship Stipend Calculator</t>
        </is>
      </c>
      <c r="C23" s="4" t="inlineStr">
        <is>
          <t>Career</t>
        </is>
      </c>
      <c r="D23" s="5" t="inlineStr">
        <is>
          <t>/career/internship-stipend</t>
        </is>
      </c>
      <c r="E23" s="4" t="n">
        <v>10</v>
      </c>
    </row>
    <row r="24" ht="20" customHeight="1">
      <c r="A24" s="2" t="n">
        <v>23</v>
      </c>
      <c r="B24" s="3" t="inlineStr">
        <is>
          <t>EMI Calculator</t>
        </is>
      </c>
      <c r="C24" s="2" t="inlineStr">
        <is>
          <t>Finance</t>
        </is>
      </c>
      <c r="D24" s="3" t="inlineStr">
        <is>
          <t>/finance/emi-calculator</t>
        </is>
      </c>
      <c r="E24" s="2" t="n">
        <v>52</v>
      </c>
    </row>
    <row r="25" ht="20" customHeight="1">
      <c r="A25" s="4" t="n">
        <v>24</v>
      </c>
      <c r="B25" s="5" t="inlineStr">
        <is>
          <t>SIP Calculator</t>
        </is>
      </c>
      <c r="C25" s="4" t="inlineStr">
        <is>
          <t>Finance</t>
        </is>
      </c>
      <c r="D25" s="5" t="inlineStr">
        <is>
          <t>/finance/sip-calculator</t>
        </is>
      </c>
      <c r="E25" s="4" t="n">
        <v>42</v>
      </c>
    </row>
    <row r="26" ht="20" customHeight="1">
      <c r="A26" s="2" t="n">
        <v>25</v>
      </c>
      <c r="B26" s="3" t="inlineStr">
        <is>
          <t>GST Calculator</t>
        </is>
      </c>
      <c r="C26" s="2" t="inlineStr">
        <is>
          <t>Finance</t>
        </is>
      </c>
      <c r="D26" s="3" t="inlineStr">
        <is>
          <t>/finance/gst-calculator</t>
        </is>
      </c>
      <c r="E26" s="2" t="n">
        <v>40</v>
      </c>
    </row>
    <row r="27" ht="20" customHeight="1">
      <c r="A27" s="4" t="n">
        <v>26</v>
      </c>
      <c r="B27" s="5" t="inlineStr">
        <is>
          <t>FD Calculator</t>
        </is>
      </c>
      <c r="C27" s="4" t="inlineStr">
        <is>
          <t>Finance</t>
        </is>
      </c>
      <c r="D27" s="5" t="inlineStr">
        <is>
          <t>/finance/fd-calculator</t>
        </is>
      </c>
      <c r="E27" s="4" t="n">
        <v>25</v>
      </c>
    </row>
    <row r="28" ht="20" customHeight="1">
      <c r="A28" s="2" t="n">
        <v>27</v>
      </c>
      <c r="B28" s="3" t="inlineStr">
        <is>
          <t>RD Calculator</t>
        </is>
      </c>
      <c r="C28" s="2" t="inlineStr">
        <is>
          <t>Finance</t>
        </is>
      </c>
      <c r="D28" s="3" t="inlineStr">
        <is>
          <t>/finance/rd-calculator</t>
        </is>
      </c>
      <c r="E28" s="2" t="n">
        <v>20</v>
      </c>
    </row>
    <row r="29" ht="20" customHeight="1">
      <c r="A29" s="4" t="n">
        <v>28</v>
      </c>
      <c r="B29" s="5" t="inlineStr">
        <is>
          <t>Income Tax Calculator</t>
        </is>
      </c>
      <c r="C29" s="4" t="inlineStr">
        <is>
          <t>Finance</t>
        </is>
      </c>
      <c r="D29" s="5" t="inlineStr">
        <is>
          <t>/finance/tax-calculator</t>
        </is>
      </c>
      <c r="E29" s="4" t="n">
        <v>21</v>
      </c>
    </row>
    <row r="30" ht="20" customHeight="1">
      <c r="A30" s="2" t="n">
        <v>29</v>
      </c>
      <c r="B30" s="3" t="inlineStr">
        <is>
          <t>Age Calculator</t>
        </is>
      </c>
      <c r="C30" s="2" t="inlineStr">
        <is>
          <t>General</t>
        </is>
      </c>
      <c r="D30" s="3" t="inlineStr">
        <is>
          <t>/calculators/age</t>
        </is>
      </c>
      <c r="E30" s="2" t="n">
        <v>25</v>
      </c>
    </row>
    <row r="31" ht="20" customHeight="1">
      <c r="A31" s="4" t="n">
        <v>30</v>
      </c>
      <c r="B31" s="5" t="inlineStr">
        <is>
          <t>BMI Calculator</t>
        </is>
      </c>
      <c r="C31" s="4" t="inlineStr">
        <is>
          <t>General</t>
        </is>
      </c>
      <c r="D31" s="5" t="inlineStr">
        <is>
          <t>/calculators/bmi</t>
        </is>
      </c>
      <c r="E31" s="4" t="n">
        <v>25</v>
      </c>
    </row>
    <row r="32" ht="20" customHeight="1">
      <c r="A32" s="2" t="n">
        <v>31</v>
      </c>
      <c r="B32" s="3" t="inlineStr">
        <is>
          <t>Scientific Calculator</t>
        </is>
      </c>
      <c r="C32" s="2" t="inlineStr">
        <is>
          <t>General</t>
        </is>
      </c>
      <c r="D32" s="3" t="inlineStr">
        <is>
          <t>/calculators/scientific-calculator</t>
        </is>
      </c>
      <c r="E32" s="2" t="n">
        <v>0</v>
      </c>
    </row>
    <row r="33" ht="20" customHeight="1">
      <c r="A33" s="4" t="n">
        <v>32</v>
      </c>
      <c r="B33" s="5" t="inlineStr">
        <is>
          <t>Unit Converter</t>
        </is>
      </c>
      <c r="C33" s="4" t="inlineStr">
        <is>
          <t>General</t>
        </is>
      </c>
      <c r="D33" s="5" t="inlineStr">
        <is>
          <t>/calculators/unit-converter</t>
        </is>
      </c>
      <c r="E33" s="4" t="n">
        <v>45</v>
      </c>
    </row>
    <row r="34" ht="20" customHeight="1">
      <c r="A34" s="2" t="n">
        <v>33</v>
      </c>
      <c r="B34" s="3" t="inlineStr">
        <is>
          <t>Date Calculator</t>
        </is>
      </c>
      <c r="C34" s="2" t="inlineStr">
        <is>
          <t>General</t>
        </is>
      </c>
      <c r="D34" s="3" t="inlineStr">
        <is>
          <t>/calculators/date</t>
        </is>
      </c>
      <c r="E34" s="2" t="n">
        <v>20</v>
      </c>
    </row>
    <row r="35" ht="20" customHeight="1">
      <c r="A35" s="4" t="n">
        <v>34</v>
      </c>
      <c r="B35" s="5" t="inlineStr">
        <is>
          <t>Discount Calculator</t>
        </is>
      </c>
      <c r="C35" s="4" t="inlineStr">
        <is>
          <t>General</t>
        </is>
      </c>
      <c r="D35" s="5" t="inlineStr">
        <is>
          <t>/calculators/discount</t>
        </is>
      </c>
      <c r="E35" s="4" t="n">
        <v>20</v>
      </c>
    </row>
    <row r="36" ht="20" customHeight="1">
      <c r="A36" s="2" t="n">
        <v>35</v>
      </c>
      <c r="B36" s="3" t="inlineStr">
        <is>
          <t>Profit and Loss Calculator</t>
        </is>
      </c>
      <c r="C36" s="2" t="inlineStr">
        <is>
          <t>General</t>
        </is>
      </c>
      <c r="D36" s="3" t="inlineStr">
        <is>
          <t>/calculators/profit-loss</t>
        </is>
      </c>
      <c r="E36" s="2" t="n">
        <v>15</v>
      </c>
    </row>
    <row r="37" ht="20" customHeight="1">
      <c r="A37" s="4" t="n">
        <v>36</v>
      </c>
      <c r="B37" s="5" t="inlineStr">
        <is>
          <t>Ratio Calculator</t>
        </is>
      </c>
      <c r="C37" s="4" t="inlineStr">
        <is>
          <t>General</t>
        </is>
      </c>
      <c r="D37" s="5" t="inlineStr">
        <is>
          <t>/calculators/ratio</t>
        </is>
      </c>
      <c r="E37" s="4" t="n">
        <v>15</v>
      </c>
    </row>
    <row r="38" ht="20" customHeight="1">
      <c r="A38" s="2" t="n">
        <v>37</v>
      </c>
      <c r="B38" s="3" t="inlineStr">
        <is>
          <t>Fraction Calculator</t>
        </is>
      </c>
      <c r="C38" s="2" t="inlineStr">
        <is>
          <t>General</t>
        </is>
      </c>
      <c r="D38" s="3" t="inlineStr">
        <is>
          <t>/calculators/fraction</t>
        </is>
      </c>
      <c r="E38" s="2" t="n">
        <v>15</v>
      </c>
    </row>
    <row r="39" ht="20" customHeight="1">
      <c r="A39" s="4" t="n">
        <v>38</v>
      </c>
      <c r="B39" s="5" t="inlineStr">
        <is>
          <t>Percentage Change Calculator</t>
        </is>
      </c>
      <c r="C39" s="4" t="inlineStr">
        <is>
          <t>General</t>
        </is>
      </c>
      <c r="D39" s="5" t="inlineStr">
        <is>
          <t>/calculators/percentage-change</t>
        </is>
      </c>
      <c r="E3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5" customWidth="1" min="3" max="3"/>
  </cols>
  <sheetData>
    <row r="1" ht="36" customHeight="1">
      <c r="B1" s="9" t="inlineStr">
        <is>
          <t>StudentTools.cyou — Automated Content Publishing Pipeline Instructions</t>
        </is>
      </c>
    </row>
    <row r="3" ht="26" customHeight="1">
      <c r="B3" s="10" t="inlineStr">
        <is>
          <t>Architecture Overview</t>
        </is>
      </c>
      <c r="C3" s="11" t="inlineStr">
        <is>
          <t>This spreadsheet serves as the master editorial queue for the StudentTools.cyou automated AI publishing engine.</t>
        </is>
      </c>
    </row>
    <row r="4" ht="26" customHeight="1">
      <c r="B4" s="10" t="inlineStr">
        <is>
          <t>Status Lifecycle</t>
        </is>
      </c>
      <c r="C4" s="11" t="inlineStr">
        <is>
          <t>The publication pipeline progresses strictly through: READY -&gt; PROCESSING -&gt; PUBLISHED (or FAILED / REVIEW_REQUIRED / SKIPPED).</t>
        </is>
      </c>
    </row>
    <row r="5" ht="26" customHeight="1">
      <c r="B5" s="10" t="inlineStr">
        <is>
          <t>Worker Step 1: Select Topic</t>
        </is>
      </c>
      <c r="C5" s="11" t="inlineStr">
        <is>
          <t>Find the first row in the 'Topics' sheet where status == 'READY' and priority == 'HIGH' (or next available).</t>
        </is>
      </c>
    </row>
    <row r="6" ht="26" customHeight="1">
      <c r="B6" s="10" t="inlineStr">
        <is>
          <t>Worker Step 2: Lock Record</t>
        </is>
      </c>
      <c r="C6" s="11" t="inlineStr">
        <is>
          <t>Immediately update the topic row status to 'PROCESSING' to prevent race conditions during concurrent runs.</t>
        </is>
      </c>
    </row>
    <row r="7" ht="26" customHeight="1">
      <c r="B7" s="10" t="inlineStr">
        <is>
          <t>Worker Step 3: Prompt Gemini</t>
        </is>
      </c>
      <c r="C7" s="11" t="inlineStr">
        <is>
          <t>Pass the topic title, article_type, search_intent, content_angle, and Indian context guidelines to Gemini.</t>
        </is>
      </c>
    </row>
    <row r="8" ht="26" customHeight="1">
      <c r="B8" s="10" t="inlineStr">
        <is>
          <t>Worker Step 4: Tool Injection</t>
        </is>
      </c>
      <c r="C8" s="11" t="inlineStr">
        <is>
          <t>Ensure the article embeds a contextual CTA and link to related_tool using the exact canonical related_tool_slug.</t>
        </is>
      </c>
    </row>
    <row r="9" ht="26" customHeight="1">
      <c r="B9" s="10" t="inlineStr">
        <is>
          <t>Worker Step 5: Quality Audit</t>
        </is>
      </c>
      <c r="C9" s="11" t="inlineStr">
        <is>
          <t>Perform automated linting: verify minimum word count (1,200+), proper Markdown formatting, zero AI hallucinatory figures, and accurate formulas.</t>
        </is>
      </c>
    </row>
    <row r="10" ht="26" customHeight="1">
      <c r="B10" s="10" t="inlineStr">
        <is>
          <t>Worker Step 6: Publish Post</t>
        </is>
      </c>
      <c r="C10" s="11" t="inlineStr">
        <is>
          <t>Deploy the article to the Next.js CMS/database, generating the live URL and canonical route.</t>
        </is>
      </c>
    </row>
    <row r="11" ht="26" customHeight="1">
      <c r="B11" s="10" t="inlineStr">
        <is>
          <t>Worker Step 7: Finalize Row</t>
        </is>
      </c>
      <c r="C11" s="11" t="inlineStr">
        <is>
          <t>Update status to 'PUBLISHED', write the live URL to published_url, set published_at timestamp, and record SHA-256 in content_hash.</t>
        </is>
      </c>
    </row>
    <row r="12" ht="26" customHeight="1">
      <c r="B12" s="10" t="inlineStr">
        <is>
          <t>Worker Error Handling</t>
        </is>
      </c>
      <c r="C12" s="11" t="inlineStr">
        <is>
          <t>If generation or linting fails, set status to 'FAILED', record the error trace in error, and continue to the next READY topic.</t>
        </is>
      </c>
    </row>
    <row r="13" ht="26" customHeight="1">
      <c r="B13" s="10" t="inlineStr">
        <is>
          <t>Editorial Independence</t>
        </is>
      </c>
      <c r="C13" s="11" t="inlineStr">
        <is>
          <t>Every row is fully distinct and self-contained; Gemini receives exact content angles to prevent duplicate or thin keyword articles.</t>
        </is>
      </c>
    </row>
    <row r="14" ht="26" customHeight="1">
      <c r="B14" s="10" t="inlineStr">
        <is>
          <t>Canonical Slugs</t>
        </is>
      </c>
      <c r="C14" s="11" t="inlineStr">
        <is>
          <t>Never alter related_tool_slug outside the 38 tools defined in the 'Tools' tab to maintain pristine internal linking integrity.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5" customWidth="1" min="4" max="4"/>
    <col width="28" customWidth="1" min="5" max="5"/>
    <col width="18" customWidth="1" min="6" max="6"/>
  </cols>
  <sheetData>
    <row r="1" ht="28" customHeight="1">
      <c r="B1" s="12" t="inlineStr">
        <is>
          <t>Pipeline Status Summary</t>
        </is>
      </c>
      <c r="E1" s="12" t="inlineStr">
        <is>
          <t>Topics per Category</t>
        </is>
      </c>
    </row>
    <row r="2" ht="20" customHeight="1">
      <c r="B2" s="13" t="inlineStr">
        <is>
          <t>Total Topics in Database</t>
        </is>
      </c>
      <c r="C2" s="14">
        <f>COUNTA(Topics!A2:A1106)</f>
        <v/>
      </c>
      <c r="E2" s="15" t="inlineStr">
        <is>
          <t>JEE &amp; Competitive Exams</t>
        </is>
      </c>
      <c r="F2" s="14">
        <f>COUNTIF(Topics!C2:C1106, "JEE")</f>
        <v/>
      </c>
    </row>
    <row r="3" ht="20" customHeight="1">
      <c r="B3" s="15" t="inlineStr">
        <is>
          <t>READY for Publishing</t>
        </is>
      </c>
      <c r="C3" s="14">
        <f>COUNTIF(Topics!N2:N1106, "READY")</f>
        <v/>
      </c>
      <c r="E3" s="15" t="inlineStr">
        <is>
          <t>Student &amp; Academic Tools</t>
        </is>
      </c>
      <c r="F3" s="14">
        <f>COUNTIF(Topics!C2:C1106, "Student")</f>
        <v/>
      </c>
    </row>
    <row r="4" ht="20" customHeight="1">
      <c r="B4" s="15" t="inlineStr">
        <is>
          <t>PROCESSING (In Progress)</t>
        </is>
      </c>
      <c r="C4" s="14">
        <f>COUNTIF(Topics!N2:N1106, "PROCESSING")</f>
        <v/>
      </c>
      <c r="E4" s="15" t="inlineStr">
        <is>
          <t>Career &amp; Salary Tools</t>
        </is>
      </c>
      <c r="F4" s="14">
        <f>COUNTIF(Topics!C2:C1106, "Career")</f>
        <v/>
      </c>
    </row>
    <row r="5" ht="20" customHeight="1">
      <c r="B5" s="15" t="inlineStr">
        <is>
          <t>PUBLISHED (Live)</t>
        </is>
      </c>
      <c r="C5" s="14">
        <f>COUNTIF(Topics!N2:N1106, "PUBLISHED")</f>
        <v/>
      </c>
      <c r="E5" s="15" t="inlineStr">
        <is>
          <t>Finance Calculators</t>
        </is>
      </c>
      <c r="F5" s="14">
        <f>COUNTIF(Topics!C2:C1106, "Finance")</f>
        <v/>
      </c>
    </row>
    <row r="6" ht="20" customHeight="1">
      <c r="B6" s="15" t="inlineStr">
        <is>
          <t>FAILED (Needs Retry)</t>
        </is>
      </c>
      <c r="C6" s="14">
        <f>COUNTIF(Topics!N2:N1106, "FAILED")</f>
        <v/>
      </c>
      <c r="E6" s="15" t="inlineStr">
        <is>
          <t>General Calculators</t>
        </is>
      </c>
      <c r="F6" s="14">
        <f>COUNTIF(Topics!C2:C1106, "General")</f>
        <v/>
      </c>
    </row>
    <row r="7" ht="20" customHeight="1">
      <c r="B7" s="15" t="inlineStr">
        <is>
          <t>REVIEW_REQUIRED</t>
        </is>
      </c>
      <c r="C7" s="14">
        <f>COUNTIF(Topics!N2:N1106, "REVIEW_REQUIRED")</f>
        <v/>
      </c>
    </row>
    <row r="8" ht="20" customHeight="1">
      <c r="B8" s="15" t="inlineStr">
        <is>
          <t>SKIPPED</t>
        </is>
      </c>
      <c r="C8" s="14">
        <f>COUNTIF(Topics!N2:N1106, "SKIPPED")</f>
        <v/>
      </c>
    </row>
  </sheetData>
  <mergeCells count="2">
    <mergeCell ref="B1:C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2026-09-18T19:04:38Z</dcterms:created>
  <dcterms:modified xsi:type="dcterms:W3CDTF">2026-09-18T19:04:43Z</dcterms:modified>
</cp:coreProperties>
</file>